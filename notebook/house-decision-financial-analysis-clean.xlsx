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/>
  <xr:revisionPtr revIDLastSave="0" documentId="8_{97C42F8D-DCFB-47A3-9EC7-712A376BBB3C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Income" sheetId="3" r:id="rId1"/>
    <sheet name="Expenses" sheetId="4" r:id="rId2"/>
    <sheet name="Partner_Annual" sheetId="5" r:id="rId3"/>
    <sheet name="house_plans" sheetId="6" r:id="rId4"/>
  </sheets>
  <definedNames>
    <definedName name="SegmentaçãoDeDados_Category">#N/A</definedName>
    <definedName name="SegmentaçãoDeDados_Category1">#N/A</definedName>
    <definedName name="SegmentaçãoDeDados_Description">#N/A</definedName>
    <definedName name="SegmentaçãoDeDados_Month">#N/A</definedName>
    <definedName name="SegmentaçãoDeDados_Month1">#N/A</definedName>
    <definedName name="SegmentaçãoDeDados_Split_Type">#N/A</definedName>
    <definedName name="SegmentaçãoDeDados_Subcategorie">#N/A</definedName>
    <definedName name="SegmentaçãoDeDados_Subcategory">#N/A</definedName>
    <definedName name="SegmentaçãoDeDados_Year">#N/A</definedName>
    <definedName name="SegmentaçãoDeDados_Year1">#N/A</definedName>
    <definedName name="Slicer_Extra_Category">#N/A</definedName>
  </definedNames>
  <calcPr calcId="191028"/>
  <pivotCaches>
    <pivotCache cacheId="161" r:id="rId5"/>
    <pivotCache cacheId="1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6" l="1"/>
  <c r="D20" i="6"/>
  <c r="D19" i="6"/>
  <c r="D18" i="6"/>
  <c r="D17" i="6"/>
  <c r="D16" i="6"/>
  <c r="D15" i="6"/>
  <c r="D14" i="6"/>
  <c r="B7" i="5"/>
  <c r="C7" i="5"/>
  <c r="C6" i="5"/>
  <c r="D13" i="6"/>
  <c r="D12" i="6"/>
  <c r="D11" i="6"/>
  <c r="D10" i="6"/>
  <c r="D9" i="6"/>
  <c r="D8" i="6"/>
  <c r="D7" i="6"/>
  <c r="D6" i="6"/>
  <c r="D5" i="6"/>
  <c r="D4" i="6"/>
  <c r="D3" i="6"/>
  <c r="D2" i="6"/>
  <c r="C5" i="5"/>
  <c r="C4" i="5"/>
  <c r="C3" i="5"/>
  <c r="C2" i="5"/>
</calcChain>
</file>

<file path=xl/sharedStrings.xml><?xml version="1.0" encoding="utf-8"?>
<sst xmlns="http://schemas.openxmlformats.org/spreadsheetml/2006/main" count="4418" uniqueCount="123">
  <si>
    <t>Year</t>
  </si>
  <si>
    <t>Month</t>
  </si>
  <si>
    <t>Category</t>
  </si>
  <si>
    <t>Subcategorie</t>
  </si>
  <si>
    <t xml:space="preserve">Amount </t>
  </si>
  <si>
    <t>May</t>
  </si>
  <si>
    <t>Government Support</t>
  </si>
  <si>
    <t>Unemployment Benefits</t>
  </si>
  <si>
    <t xml:space="preserve">Soma de Amount </t>
  </si>
  <si>
    <t>Student Support</t>
  </si>
  <si>
    <t>Other Income</t>
  </si>
  <si>
    <t>Savings Withdrawal</t>
  </si>
  <si>
    <t>June</t>
  </si>
  <si>
    <t>Tax Refund</t>
  </si>
  <si>
    <t>July</t>
  </si>
  <si>
    <t>August</t>
  </si>
  <si>
    <t>September</t>
  </si>
  <si>
    <t>October</t>
  </si>
  <si>
    <t>December</t>
  </si>
  <si>
    <t xml:space="preserve">November </t>
  </si>
  <si>
    <t>2022 Total</t>
  </si>
  <si>
    <t xml:space="preserve">January </t>
  </si>
  <si>
    <t xml:space="preserve">February </t>
  </si>
  <si>
    <t>Salary</t>
  </si>
  <si>
    <t>BI</t>
  </si>
  <si>
    <t>March</t>
  </si>
  <si>
    <t>April</t>
  </si>
  <si>
    <t>Family Support</t>
  </si>
  <si>
    <t>2023 Total</t>
  </si>
  <si>
    <t>Gifts</t>
  </si>
  <si>
    <t>November</t>
  </si>
  <si>
    <t>2024 Total</t>
  </si>
  <si>
    <t>Tesco</t>
  </si>
  <si>
    <t>2025 Total</t>
  </si>
  <si>
    <t>January</t>
  </si>
  <si>
    <t>February</t>
  </si>
  <si>
    <t>2026 Total</t>
  </si>
  <si>
    <t>Grand Total</t>
  </si>
  <si>
    <t>Zanzibar</t>
  </si>
  <si>
    <t>babysitting</t>
  </si>
  <si>
    <t>Tips</t>
  </si>
  <si>
    <t>Tax refund</t>
  </si>
  <si>
    <t>Subcategory</t>
  </si>
  <si>
    <t>Amount</t>
  </si>
  <si>
    <t>Description</t>
  </si>
  <si>
    <t>Split_Type</t>
  </si>
  <si>
    <t xml:space="preserve">Extra Category </t>
  </si>
  <si>
    <t>Essentials</t>
  </si>
  <si>
    <t>Bills</t>
  </si>
  <si>
    <t>Phone</t>
  </si>
  <si>
    <t>Individual</t>
  </si>
  <si>
    <t>Soma de Amount</t>
  </si>
  <si>
    <t>Lifestyle</t>
  </si>
  <si>
    <t>Projects &amp; Studies</t>
  </si>
  <si>
    <t xml:space="preserve">College </t>
  </si>
  <si>
    <t>Subscriptions &amp; Services</t>
  </si>
  <si>
    <t>Gym</t>
  </si>
  <si>
    <t>Rent</t>
  </si>
  <si>
    <t>Portugal Rent</t>
  </si>
  <si>
    <t>50 - 50</t>
  </si>
  <si>
    <t>Transportation</t>
  </si>
  <si>
    <t xml:space="preserve">Diesel </t>
  </si>
  <si>
    <t>Groceries</t>
  </si>
  <si>
    <t>Eating Out</t>
  </si>
  <si>
    <t>Shopping</t>
  </si>
  <si>
    <t xml:space="preserve">Personal spendings </t>
  </si>
  <si>
    <t>Home Forniture</t>
  </si>
  <si>
    <t xml:space="preserve">Veterinary </t>
  </si>
  <si>
    <t>Dog supplies</t>
  </si>
  <si>
    <t>Car repair</t>
  </si>
  <si>
    <t>Spotify</t>
  </si>
  <si>
    <t>Unknown</t>
  </si>
  <si>
    <t xml:space="preserve">Electricity </t>
  </si>
  <si>
    <t>Trading stuff</t>
  </si>
  <si>
    <t>Motorway fee</t>
  </si>
  <si>
    <t>Travel</t>
  </si>
  <si>
    <t>Youtube</t>
  </si>
  <si>
    <t>Total Geral</t>
  </si>
  <si>
    <t>Trading Stuff</t>
  </si>
  <si>
    <t xml:space="preserve">Insurance </t>
  </si>
  <si>
    <t xml:space="preserve">NCT </t>
  </si>
  <si>
    <t>Health</t>
  </si>
  <si>
    <t>Tax road</t>
  </si>
  <si>
    <t>House Related Bills</t>
  </si>
  <si>
    <t>Expeted Bills</t>
  </si>
  <si>
    <t>Personal expenses</t>
  </si>
  <si>
    <t>Unexpected Bills</t>
  </si>
  <si>
    <t xml:space="preserve">Kilmacthomas </t>
  </si>
  <si>
    <t>Bus</t>
  </si>
  <si>
    <t xml:space="preserve">Johns Park </t>
  </si>
  <si>
    <t>Macroeconomics course \ MFF</t>
  </si>
  <si>
    <t>Internet</t>
  </si>
  <si>
    <t>Dryer Machine</t>
  </si>
  <si>
    <t xml:space="preserve">Account Maintenance </t>
  </si>
  <si>
    <t>Car Park</t>
  </si>
  <si>
    <t>Home forniture</t>
  </si>
  <si>
    <t>Diesel</t>
  </si>
  <si>
    <t>NCT</t>
  </si>
  <si>
    <t>License TV</t>
  </si>
  <si>
    <t xml:space="preserve">Health </t>
  </si>
  <si>
    <t>TV</t>
  </si>
  <si>
    <t>Data Analyst IBM</t>
  </si>
  <si>
    <t>Insurance</t>
  </si>
  <si>
    <t>Drive License IE</t>
  </si>
  <si>
    <t>Tax Road</t>
  </si>
  <si>
    <t>Car park</t>
  </si>
  <si>
    <t>Troll</t>
  </si>
  <si>
    <t>DIesel</t>
  </si>
  <si>
    <t>Bimby</t>
  </si>
  <si>
    <t>Item</t>
  </si>
  <si>
    <t xml:space="preserve">Annual </t>
  </si>
  <si>
    <t>Monthly</t>
  </si>
  <si>
    <t>Income (net)</t>
  </si>
  <si>
    <t>Fixed bills</t>
  </si>
  <si>
    <t>Electricidade</t>
  </si>
  <si>
    <t>Savings</t>
  </si>
  <si>
    <t>Cenário</t>
  </si>
  <si>
    <t>Current</t>
  </si>
  <si>
    <t>Expected Bills</t>
  </si>
  <si>
    <t>LPT</t>
  </si>
  <si>
    <t>Option A</t>
  </si>
  <si>
    <t>Option B</t>
  </si>
  <si>
    <t>Personal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</si>
</sst>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_([$€-2]\ * #,##0.00_);_([$€-2]\ * \(#,##0.00\);_([$€-2]\ * &quot;-&quot;??_);_(@_)"/>
    <numFmt numFmtId="166" formatCode="[$€-1809]#,##0.00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family val="2"/>
      <charset val="1"/>
    </font>
    <font>
      <sz val="11"/>
      <color rgb="FF242424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2" fillId="0" borderId="0" xfId="0" applyNumberFormat="1" applyFont="1"/>
    <xf numFmtId="0" fontId="0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0" fillId="0" borderId="0" xfId="0" applyNumberFormat="1"/>
    <xf numFmtId="0" fontId="5" fillId="0" borderId="0" xfId="0" applyFont="1" applyBorder="1" applyAlignment="1"/>
    <xf numFmtId="0" fontId="0" fillId="0" borderId="0" xfId="0" pivotButton="1"/>
    <xf numFmtId="0" fontId="6" fillId="0" borderId="0" xfId="0" applyFont="1" applyAlignment="1"/>
    <xf numFmtId="166" fontId="0" fillId="0" borderId="0" xfId="0" applyNumberFormat="1"/>
    <xf numFmtId="166" fontId="0" fillId="0" borderId="0" xfId="0" quotePrefix="1" applyNumberFormat="1"/>
  </cellXfs>
  <cellStyles count="3">
    <cellStyle name="Normal" xfId="0" builtinId="0"/>
    <cellStyle name="Normal 2" xfId="1" xr:uid="{258A2B40-1388-491D-B61D-4F71417B73A6}"/>
    <cellStyle name="Percentagem 2" xfId="2" xr:uid="{4FAB6634-1648-47AD-A327-D43A5258070D}"/>
  </cellStyles>
  <dxfs count="10">
    <dxf>
      <numFmt numFmtId="166" formatCode="[$€-1809]#,##0.00"/>
    </dxf>
    <dxf>
      <numFmt numFmtId="166" formatCode="[$€-1809]#,##0.00"/>
    </dxf>
    <dxf>
      <numFmt numFmtId="166" formatCode="[$€-1809]#,##0.00"/>
    </dxf>
    <dxf>
      <numFmt numFmtId="166" formatCode="[$€-1809]#,##0.00"/>
    </dxf>
    <dxf>
      <numFmt numFmtId="165" formatCode="_([$€-2]\ * #,##0.00_);_([$€-2]\ * \(#,##0.00\);_([$€-2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[$€-2]\ * #,##0.00_-;\-[$€-2]\ * #,##0.00_-;_-[$€-2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microsoft.com/office/2007/relationships/slicerCache" Target="slicerCaches/slicerCache1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0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9.xml"/><Relationship Id="rId10" Type="http://schemas.microsoft.com/office/2007/relationships/slicerCache" Target="slicerCaches/slicerCache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0</xdr:row>
      <xdr:rowOff>171450</xdr:rowOff>
    </xdr:from>
    <xdr:to>
      <xdr:col>14</xdr:col>
      <xdr:colOff>0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1">
              <a:extLst>
                <a:ext uri="{FF2B5EF4-FFF2-40B4-BE49-F238E27FC236}">
                  <a16:creationId xmlns:a16="http://schemas.microsoft.com/office/drawing/2014/main" id="{B47B86BB-D1D9-4F60-F9F7-E8B8989A0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7975" y="171450"/>
              <a:ext cx="1819275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10</xdr:row>
      <xdr:rowOff>9525</xdr:rowOff>
    </xdr:from>
    <xdr:to>
      <xdr:col>14</xdr:col>
      <xdr:colOff>0</xdr:colOff>
      <xdr:row>23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 1">
              <a:extLst>
                <a:ext uri="{FF2B5EF4-FFF2-40B4-BE49-F238E27FC236}">
                  <a16:creationId xmlns:a16="http://schemas.microsoft.com/office/drawing/2014/main" id="{5BC0DBED-F0F9-4524-1218-5B340894E030}"/>
                </a:ext>
                <a:ext uri="{147F2762-F138-4A5C-976F-8EAC2B608ADB}">
                  <a16:predDERef xmlns:a16="http://schemas.microsoft.com/office/drawing/2014/main" pred="{B47B86BB-D1D9-4F60-F9F7-E8B8989A0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450" y="1609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19050</xdr:colOff>
      <xdr:row>0</xdr:row>
      <xdr:rowOff>180975</xdr:rowOff>
    </xdr:from>
    <xdr:to>
      <xdr:col>17</xdr:col>
      <xdr:colOff>19050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A177465F-2CE4-8172-71FD-29D93FA24B54}"/>
                </a:ext>
                <a:ext uri="{147F2762-F138-4A5C-976F-8EAC2B608ADB}">
                  <a16:predDERef xmlns:a16="http://schemas.microsoft.com/office/drawing/2014/main" pred="{5BC0DBED-F0F9-4524-1218-5B340894E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6300" y="18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28575</xdr:colOff>
      <xdr:row>7</xdr:row>
      <xdr:rowOff>57150</xdr:rowOff>
    </xdr:from>
    <xdr:to>
      <xdr:col>17</xdr:col>
      <xdr:colOff>28575</xdr:colOff>
      <xdr:row>21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categorie">
              <a:extLst>
                <a:ext uri="{FF2B5EF4-FFF2-40B4-BE49-F238E27FC236}">
                  <a16:creationId xmlns:a16="http://schemas.microsoft.com/office/drawing/2014/main" id="{F08EF65D-FA9E-5FEE-6266-EDF18B4E8EFD}"/>
                </a:ext>
                <a:ext uri="{147F2762-F138-4A5C-976F-8EAC2B608ADB}">
                  <a16:predDERef xmlns:a16="http://schemas.microsoft.com/office/drawing/2014/main" pred="{A177465F-2CE4-8172-71FD-29D93FA24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5825" y="1600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466725</xdr:colOff>
      <xdr:row>0</xdr:row>
      <xdr:rowOff>9525</xdr:rowOff>
    </xdr:from>
    <xdr:to>
      <xdr:col>17</xdr:col>
      <xdr:colOff>161925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EF75A368-863F-C766-EF2B-F4020568F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5" y="0"/>
              <a:ext cx="204787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457200</xdr:colOff>
      <xdr:row>4</xdr:row>
      <xdr:rowOff>161925</xdr:rowOff>
    </xdr:from>
    <xdr:to>
      <xdr:col>17</xdr:col>
      <xdr:colOff>190500</xdr:colOff>
      <xdr:row>23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65B5EF9E-930C-8EF4-84EE-D41E9015907F}"/>
                </a:ext>
                <a:ext uri="{147F2762-F138-4A5C-976F-8EAC2B608ADB}">
                  <a16:predDERef xmlns:a16="http://schemas.microsoft.com/office/drawing/2014/main" pred="{EF75A368-863F-C766-EF2B-F4020568F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5" y="666750"/>
              <a:ext cx="203835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171450</xdr:colOff>
      <xdr:row>0</xdr:row>
      <xdr:rowOff>0</xdr:rowOff>
    </xdr:from>
    <xdr:to>
      <xdr:col>21</xdr:col>
      <xdr:colOff>428625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D9BC2988-A423-742E-3FF1-B574B48ACC5F}"/>
                </a:ext>
                <a:ext uri="{147F2762-F138-4A5C-976F-8EAC2B608ADB}">
                  <a16:predDERef xmlns:a16="http://schemas.microsoft.com/office/drawing/2014/main" pred="{65B5EF9E-930C-8EF4-84EE-D41E901590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750" y="0"/>
              <a:ext cx="2733675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161925</xdr:colOff>
      <xdr:row>3</xdr:row>
      <xdr:rowOff>180975</xdr:rowOff>
    </xdr:from>
    <xdr:to>
      <xdr:col>21</xdr:col>
      <xdr:colOff>428625</xdr:colOff>
      <xdr:row>25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category">
              <a:extLst>
                <a:ext uri="{FF2B5EF4-FFF2-40B4-BE49-F238E27FC236}">
                  <a16:creationId xmlns:a16="http://schemas.microsoft.com/office/drawing/2014/main" id="{DA46CB5C-4FA4-6A8C-FDD4-9513E046021D}"/>
                </a:ext>
                <a:ext uri="{147F2762-F138-4A5C-976F-8EAC2B608ADB}">
                  <a16:predDERef xmlns:a16="http://schemas.microsoft.com/office/drawing/2014/main" pred="{D9BC2988-A423-742E-3FF1-B574B48AC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8325" y="666750"/>
              <a:ext cx="2705100" cy="456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514350</xdr:colOff>
      <xdr:row>0</xdr:row>
      <xdr:rowOff>0</xdr:rowOff>
    </xdr:from>
    <xdr:to>
      <xdr:col>24</xdr:col>
      <xdr:colOff>514350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escription">
              <a:extLst>
                <a:ext uri="{FF2B5EF4-FFF2-40B4-BE49-F238E27FC236}">
                  <a16:creationId xmlns:a16="http://schemas.microsoft.com/office/drawing/2014/main" id="{7DA34C22-EB2B-5954-52D2-9EBF7B728BF6}"/>
                </a:ext>
                <a:ext uri="{147F2762-F138-4A5C-976F-8EAC2B608ADB}">
                  <a16:predDERef xmlns:a16="http://schemas.microsoft.com/office/drawing/2014/main" pred="{DA46CB5C-4FA4-6A8C-FDD4-9513E0460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5850" y="0"/>
              <a:ext cx="1828800" cy="477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24</xdr:col>
      <xdr:colOff>514350</xdr:colOff>
      <xdr:row>0</xdr:row>
      <xdr:rowOff>0</xdr:rowOff>
    </xdr:from>
    <xdr:to>
      <xdr:col>27</xdr:col>
      <xdr:colOff>514350</xdr:colOff>
      <xdr:row>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plit_Type">
              <a:extLst>
                <a:ext uri="{FF2B5EF4-FFF2-40B4-BE49-F238E27FC236}">
                  <a16:creationId xmlns:a16="http://schemas.microsoft.com/office/drawing/2014/main" id="{65A12C7B-6E30-52B8-A18C-E5093858089F}"/>
                </a:ext>
                <a:ext uri="{147F2762-F138-4A5C-976F-8EAC2B608ADB}">
                  <a16:predDERef xmlns:a16="http://schemas.microsoft.com/office/drawing/2014/main" pred="{7DA34C22-EB2B-5954-52D2-9EBF7B728B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li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6250" y="0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24</xdr:col>
      <xdr:colOff>523875</xdr:colOff>
      <xdr:row>5</xdr:row>
      <xdr:rowOff>9525</xdr:rowOff>
    </xdr:from>
    <xdr:to>
      <xdr:col>27</xdr:col>
      <xdr:colOff>523875</xdr:colOff>
      <xdr:row>18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xtra Category ">
              <a:extLst>
                <a:ext uri="{FF2B5EF4-FFF2-40B4-BE49-F238E27FC236}">
                  <a16:creationId xmlns:a16="http://schemas.microsoft.com/office/drawing/2014/main" id="{ED2CCC4A-A36D-7C3A-2E64-4EEA16AE9CE2}"/>
                </a:ext>
                <a:ext uri="{147F2762-F138-4A5C-976F-8EAC2B608ADB}">
                  <a16:predDERef xmlns:a16="http://schemas.microsoft.com/office/drawing/2014/main" pred="{65A12C7B-6E30-52B8-A18C-E509385808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tra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07375" y="962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415992824077" createdVersion="8" refreshedVersion="8" minRefreshableVersion="3" recordCount="224" xr:uid="{358D28D5-686B-4B63-A0D5-B2D4F961B1CA}">
  <cacheSource type="worksheet">
    <worksheetSource name="Table2"/>
  </cacheSource>
  <cacheFields count="5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0">
      <sharedItems count="15">
        <s v="May"/>
        <s v="June"/>
        <s v="July"/>
        <s v="August"/>
        <s v="September"/>
        <s v="October"/>
        <s v="November "/>
        <s v="December"/>
        <s v="January "/>
        <s v="February "/>
        <s v="March"/>
        <s v="April"/>
        <s v="November"/>
        <s v="January"/>
        <s v="February"/>
      </sharedItems>
    </cacheField>
    <cacheField name="Category" numFmtId="0">
      <sharedItems count="3">
        <s v="Government Support"/>
        <s v="Other Income"/>
        <s v="Salary"/>
      </sharedItems>
    </cacheField>
    <cacheField name="Subcategorie" numFmtId="0">
      <sharedItems count="11">
        <s v="Unemployment Benefits"/>
        <s v="Student Support"/>
        <s v="Savings Withdrawal"/>
        <s v="Tax Refund"/>
        <s v="BI"/>
        <s v="Family Support"/>
        <s v="Gifts"/>
        <s v="Tesco"/>
        <s v="Zanzibar"/>
        <s v="babysitting"/>
        <s v="Tips"/>
      </sharedItems>
    </cacheField>
    <cacheField name="Amount " numFmtId="164">
      <sharedItems containsSemiMixedTypes="0" containsString="0" containsNumber="1" minValue="19" maxValue="1200"/>
    </cacheField>
  </cacheFields>
  <extLst>
    <ext xmlns:x14="http://schemas.microsoft.com/office/spreadsheetml/2009/9/main" uri="{725AE2AE-9491-48be-B2B4-4EB974FC3084}">
      <x14:pivotCacheDefinition pivotCacheId="50362407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3.415992939816" createdVersion="8" refreshedVersion="8" minRefreshableVersion="3" recordCount="617" xr:uid="{DD1014B3-6DA6-40E7-9A1B-33505F937300}">
  <cacheSource type="worksheet">
    <worksheetSource name="Table14"/>
  </cacheSource>
  <cacheFields count="8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ategory" numFmtId="0">
      <sharedItems count="3">
        <s v="Essentials"/>
        <s v="Lifestyle"/>
        <s v="Unknown"/>
      </sharedItems>
    </cacheField>
    <cacheField name="Subcategory" numFmtId="0">
      <sharedItems count="16">
        <s v="Bills"/>
        <s v="Projects &amp; Studies"/>
        <s v="Subscriptions &amp; Services"/>
        <s v="Rent"/>
        <s v="Transportation"/>
        <s v="Groceries"/>
        <s v="Eating Out"/>
        <s v="Shopping"/>
        <s v="Veterinary "/>
        <s v="Dog supplies"/>
        <s v="Unknown"/>
        <s v="Travel"/>
        <s v="Health"/>
        <s v="Health "/>
        <s v="Card" u="1"/>
        <s v="Dog suplies" u="1"/>
      </sharedItems>
    </cacheField>
    <cacheField name="Amount" numFmtId="165">
      <sharedItems containsSemiMixedTypes="0" containsString="0" containsNumber="1" minValue="1.99" maxValue="1125"/>
    </cacheField>
    <cacheField name="Description" numFmtId="0">
      <sharedItems containsBlank="1" count="67">
        <s v="Phone"/>
        <s v="College "/>
        <s v="Gym"/>
        <s v="Portugal Rent"/>
        <s v="Diesel "/>
        <s v="Groceries"/>
        <s v="Eating Out"/>
        <s v="Personal spendings "/>
        <s v="Home Forniture"/>
        <s v="Veterinary "/>
        <s v="Dog supplies"/>
        <s v="Car repair"/>
        <s v="Spotify"/>
        <m/>
        <s v="Electricity "/>
        <s v="Trading stuff"/>
        <s v="Motorway fee"/>
        <s v="Travel"/>
        <s v="Youtube"/>
        <s v="Gifts"/>
        <s v="Insurance "/>
        <s v="NCT "/>
        <s v="Health"/>
        <s v="Tax road"/>
        <s v="Personal expenses"/>
        <s v="Kilmacthomas "/>
        <s v="Bus"/>
        <s v="Johns Park "/>
        <s v="Macroeconomics course \ MFF"/>
        <s v="Internet"/>
        <s v="Dryer Machine"/>
        <s v="Account Maintenance "/>
        <s v="Car Park"/>
        <s v="Diesel"/>
        <s v="NCT"/>
        <s v="License TV"/>
        <s v="Health "/>
        <s v="TV"/>
        <s v="Data Analyst IBM"/>
        <s v="Insurance"/>
        <s v="Drive License IE"/>
        <s v="Troll"/>
        <s v="Bimby"/>
        <s v="Dog Food" u="1"/>
        <s v="ZZZclub" u="1"/>
        <s v="Portugal " u="1"/>
        <s v="Portugal" u="1"/>
        <s v="Reading glasses" u="1"/>
        <s v="Books" u="1"/>
        <s v="Dentist " u="1"/>
        <s v="Porto" u="1"/>
        <s v="Cat Vet" u="1"/>
        <s v="Car Ticket" u="1"/>
        <s v="Amsterdam" u="1"/>
        <s v="Ibiza " u="1"/>
        <s v="Canary" u="1"/>
        <s v="Dentist" u="1"/>
        <s v="Vet" u="1"/>
        <s v="Diesel \ uber " u="1"/>
        <s v="Trading course" u="1"/>
        <s v="Trading course \ Tradingview" u="1"/>
        <s v="Tradingview" u="1"/>
        <s v="Trading" u="1"/>
        <s v="Trading View" u="1"/>
        <s v="Gift" u="1"/>
        <s v="Trading " u="1"/>
        <s v="BOI " u="1"/>
      </sharedItems>
    </cacheField>
    <cacheField name="Split_Type" numFmtId="0">
      <sharedItems count="2">
        <s v="Individual"/>
        <s v="50 - 50"/>
      </sharedItems>
    </cacheField>
    <cacheField name="Extra Category " numFmtId="0">
      <sharedItems containsBlank="1" count="5">
        <m/>
        <s v="House Related Bills"/>
        <s v="Expeted Bills"/>
        <s v="Personal spendings "/>
        <s v="Unexpected Bills"/>
      </sharedItems>
    </cacheField>
  </cacheFields>
  <extLst>
    <ext xmlns:x14="http://schemas.microsoft.com/office/spreadsheetml/2009/9/main" uri="{725AE2AE-9491-48be-B2B4-4EB974FC3084}">
      <x14:pivotCacheDefinition pivotCacheId="872814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x v="0"/>
    <x v="0"/>
    <x v="0"/>
    <n v="509.38"/>
  </r>
  <r>
    <x v="0"/>
    <x v="0"/>
    <x v="0"/>
    <x v="1"/>
    <n v="87.2"/>
  </r>
  <r>
    <x v="0"/>
    <x v="0"/>
    <x v="1"/>
    <x v="2"/>
    <n v="649.63"/>
  </r>
  <r>
    <x v="0"/>
    <x v="0"/>
    <x v="0"/>
    <x v="3"/>
    <n v="234.63"/>
  </r>
  <r>
    <x v="0"/>
    <x v="1"/>
    <x v="0"/>
    <x v="0"/>
    <n v="509.38"/>
  </r>
  <r>
    <x v="0"/>
    <x v="1"/>
    <x v="0"/>
    <x v="1"/>
    <n v="87.2"/>
  </r>
  <r>
    <x v="0"/>
    <x v="1"/>
    <x v="1"/>
    <x v="2"/>
    <n v="252.13"/>
  </r>
  <r>
    <x v="0"/>
    <x v="2"/>
    <x v="0"/>
    <x v="0"/>
    <n v="509.68"/>
  </r>
  <r>
    <x v="0"/>
    <x v="2"/>
    <x v="0"/>
    <x v="1"/>
    <n v="87.2"/>
  </r>
  <r>
    <x v="0"/>
    <x v="2"/>
    <x v="1"/>
    <x v="2"/>
    <n v="228"/>
  </r>
  <r>
    <x v="0"/>
    <x v="3"/>
    <x v="0"/>
    <x v="0"/>
    <n v="509.38"/>
  </r>
  <r>
    <x v="0"/>
    <x v="3"/>
    <x v="0"/>
    <x v="1"/>
    <n v="87.2"/>
  </r>
  <r>
    <x v="0"/>
    <x v="3"/>
    <x v="2"/>
    <x v="4"/>
    <n v="200"/>
  </r>
  <r>
    <x v="0"/>
    <x v="3"/>
    <x v="1"/>
    <x v="2"/>
    <n v="99.45"/>
  </r>
  <r>
    <x v="0"/>
    <x v="4"/>
    <x v="0"/>
    <x v="0"/>
    <n v="509.68"/>
  </r>
  <r>
    <x v="0"/>
    <x v="4"/>
    <x v="2"/>
    <x v="4"/>
    <n v="785"/>
  </r>
  <r>
    <x v="0"/>
    <x v="4"/>
    <x v="1"/>
    <x v="2"/>
    <n v="100"/>
  </r>
  <r>
    <x v="0"/>
    <x v="5"/>
    <x v="0"/>
    <x v="0"/>
    <n v="509.68"/>
  </r>
  <r>
    <x v="0"/>
    <x v="5"/>
    <x v="2"/>
    <x v="4"/>
    <n v="217"/>
  </r>
  <r>
    <x v="0"/>
    <x v="5"/>
    <x v="0"/>
    <x v="3"/>
    <n v="125"/>
  </r>
  <r>
    <x v="0"/>
    <x v="5"/>
    <x v="1"/>
    <x v="2"/>
    <n v="600"/>
  </r>
  <r>
    <x v="0"/>
    <x v="6"/>
    <x v="2"/>
    <x v="4"/>
    <n v="845"/>
  </r>
  <r>
    <x v="0"/>
    <x v="6"/>
    <x v="1"/>
    <x v="5"/>
    <n v="200"/>
  </r>
  <r>
    <x v="0"/>
    <x v="7"/>
    <x v="2"/>
    <x v="4"/>
    <n v="815"/>
  </r>
  <r>
    <x v="0"/>
    <x v="7"/>
    <x v="1"/>
    <x v="5"/>
    <n v="200"/>
  </r>
  <r>
    <x v="0"/>
    <x v="7"/>
    <x v="1"/>
    <x v="6"/>
    <n v="100"/>
  </r>
  <r>
    <x v="0"/>
    <x v="7"/>
    <x v="1"/>
    <x v="2"/>
    <n v="209.77"/>
  </r>
  <r>
    <x v="1"/>
    <x v="8"/>
    <x v="2"/>
    <x v="4"/>
    <n v="649.45000000000005"/>
  </r>
  <r>
    <x v="1"/>
    <x v="8"/>
    <x v="1"/>
    <x v="5"/>
    <n v="200"/>
  </r>
  <r>
    <x v="1"/>
    <x v="9"/>
    <x v="2"/>
    <x v="4"/>
    <n v="593.54999999999995"/>
  </r>
  <r>
    <x v="1"/>
    <x v="10"/>
    <x v="2"/>
    <x v="4"/>
    <n v="673.11"/>
  </r>
  <r>
    <x v="1"/>
    <x v="10"/>
    <x v="1"/>
    <x v="5"/>
    <n v="200"/>
  </r>
  <r>
    <x v="1"/>
    <x v="10"/>
    <x v="1"/>
    <x v="6"/>
    <n v="30"/>
  </r>
  <r>
    <x v="1"/>
    <x v="11"/>
    <x v="2"/>
    <x v="4"/>
    <n v="625.95000000000005"/>
  </r>
  <r>
    <x v="1"/>
    <x v="11"/>
    <x v="1"/>
    <x v="2"/>
    <n v="150"/>
  </r>
  <r>
    <x v="1"/>
    <x v="0"/>
    <x v="2"/>
    <x v="4"/>
    <n v="579.22"/>
  </r>
  <r>
    <x v="1"/>
    <x v="0"/>
    <x v="2"/>
    <x v="4"/>
    <n v="341.76"/>
  </r>
  <r>
    <x v="1"/>
    <x v="0"/>
    <x v="1"/>
    <x v="2"/>
    <n v="242.99"/>
  </r>
  <r>
    <x v="1"/>
    <x v="1"/>
    <x v="1"/>
    <x v="2"/>
    <n v="955.28"/>
  </r>
  <r>
    <x v="1"/>
    <x v="1"/>
    <x v="1"/>
    <x v="5"/>
    <n v="200"/>
  </r>
  <r>
    <x v="1"/>
    <x v="2"/>
    <x v="1"/>
    <x v="2"/>
    <n v="774.07"/>
  </r>
  <r>
    <x v="1"/>
    <x v="2"/>
    <x v="1"/>
    <x v="5"/>
    <n v="200"/>
  </r>
  <r>
    <x v="1"/>
    <x v="3"/>
    <x v="1"/>
    <x v="5"/>
    <n v="1200"/>
  </r>
  <r>
    <x v="1"/>
    <x v="3"/>
    <x v="1"/>
    <x v="2"/>
    <n v="307.5"/>
  </r>
  <r>
    <x v="1"/>
    <x v="3"/>
    <x v="1"/>
    <x v="2"/>
    <n v="223.5"/>
  </r>
  <r>
    <x v="1"/>
    <x v="4"/>
    <x v="1"/>
    <x v="2"/>
    <n v="1058.08"/>
  </r>
  <r>
    <x v="1"/>
    <x v="5"/>
    <x v="2"/>
    <x v="7"/>
    <n v="440.5"/>
  </r>
  <r>
    <x v="1"/>
    <x v="5"/>
    <x v="2"/>
    <x v="7"/>
    <n v="440.5"/>
  </r>
  <r>
    <x v="1"/>
    <x v="5"/>
    <x v="2"/>
    <x v="7"/>
    <n v="440.5"/>
  </r>
  <r>
    <x v="1"/>
    <x v="5"/>
    <x v="2"/>
    <x v="7"/>
    <n v="440.5"/>
  </r>
  <r>
    <x v="1"/>
    <x v="6"/>
    <x v="2"/>
    <x v="7"/>
    <n v="440.5"/>
  </r>
  <r>
    <x v="1"/>
    <x v="6"/>
    <x v="2"/>
    <x v="7"/>
    <n v="440.5"/>
  </r>
  <r>
    <x v="1"/>
    <x v="6"/>
    <x v="2"/>
    <x v="7"/>
    <n v="440.49"/>
  </r>
  <r>
    <x v="1"/>
    <x v="6"/>
    <x v="2"/>
    <x v="7"/>
    <n v="484.54"/>
  </r>
  <r>
    <x v="1"/>
    <x v="6"/>
    <x v="2"/>
    <x v="7"/>
    <n v="428.78"/>
  </r>
  <r>
    <x v="1"/>
    <x v="7"/>
    <x v="2"/>
    <x v="7"/>
    <n v="523.94000000000005"/>
  </r>
  <r>
    <x v="1"/>
    <x v="7"/>
    <x v="2"/>
    <x v="7"/>
    <n v="624.08000000000004"/>
  </r>
  <r>
    <x v="1"/>
    <x v="7"/>
    <x v="2"/>
    <x v="7"/>
    <n v="476.31"/>
  </r>
  <r>
    <x v="1"/>
    <x v="7"/>
    <x v="2"/>
    <x v="7"/>
    <n v="523.92999999999995"/>
  </r>
  <r>
    <x v="1"/>
    <x v="7"/>
    <x v="1"/>
    <x v="6"/>
    <n v="100"/>
  </r>
  <r>
    <x v="2"/>
    <x v="8"/>
    <x v="2"/>
    <x v="7"/>
    <n v="591.55999999999995"/>
  </r>
  <r>
    <x v="2"/>
    <x v="8"/>
    <x v="2"/>
    <x v="7"/>
    <n v="448"/>
  </r>
  <r>
    <x v="2"/>
    <x v="8"/>
    <x v="2"/>
    <x v="7"/>
    <n v="480.5"/>
  </r>
  <r>
    <x v="2"/>
    <x v="8"/>
    <x v="2"/>
    <x v="7"/>
    <n v="489.5"/>
  </r>
  <r>
    <x v="2"/>
    <x v="9"/>
    <x v="2"/>
    <x v="7"/>
    <n v="480"/>
  </r>
  <r>
    <x v="2"/>
    <x v="9"/>
    <x v="2"/>
    <x v="7"/>
    <n v="480.49"/>
  </r>
  <r>
    <x v="2"/>
    <x v="9"/>
    <x v="2"/>
    <x v="7"/>
    <n v="486.59"/>
  </r>
  <r>
    <x v="2"/>
    <x v="9"/>
    <x v="2"/>
    <x v="7"/>
    <n v="480.5"/>
  </r>
  <r>
    <x v="2"/>
    <x v="9"/>
    <x v="2"/>
    <x v="7"/>
    <n v="477"/>
  </r>
  <r>
    <x v="2"/>
    <x v="10"/>
    <x v="2"/>
    <x v="7"/>
    <n v="477"/>
  </r>
  <r>
    <x v="2"/>
    <x v="10"/>
    <x v="2"/>
    <x v="7"/>
    <n v="480.52"/>
  </r>
  <r>
    <x v="2"/>
    <x v="10"/>
    <x v="2"/>
    <x v="7"/>
    <n v="375"/>
  </r>
  <r>
    <x v="2"/>
    <x v="11"/>
    <x v="1"/>
    <x v="2"/>
    <n v="1100"/>
  </r>
  <r>
    <x v="2"/>
    <x v="11"/>
    <x v="1"/>
    <x v="6"/>
    <n v="30"/>
  </r>
  <r>
    <x v="2"/>
    <x v="0"/>
    <x v="1"/>
    <x v="2"/>
    <n v="900"/>
  </r>
  <r>
    <x v="2"/>
    <x v="1"/>
    <x v="1"/>
    <x v="2"/>
    <n v="680"/>
  </r>
  <r>
    <x v="2"/>
    <x v="1"/>
    <x v="2"/>
    <x v="8"/>
    <n v="150"/>
  </r>
  <r>
    <x v="2"/>
    <x v="1"/>
    <x v="2"/>
    <x v="8"/>
    <n v="162"/>
  </r>
  <r>
    <x v="2"/>
    <x v="1"/>
    <x v="2"/>
    <x v="8"/>
    <n v="107"/>
  </r>
  <r>
    <x v="2"/>
    <x v="2"/>
    <x v="2"/>
    <x v="8"/>
    <n v="152"/>
  </r>
  <r>
    <x v="2"/>
    <x v="2"/>
    <x v="2"/>
    <x v="8"/>
    <n v="120.15"/>
  </r>
  <r>
    <x v="2"/>
    <x v="2"/>
    <x v="2"/>
    <x v="8"/>
    <n v="159"/>
  </r>
  <r>
    <x v="2"/>
    <x v="2"/>
    <x v="2"/>
    <x v="8"/>
    <n v="161.75"/>
  </r>
  <r>
    <x v="2"/>
    <x v="2"/>
    <x v="2"/>
    <x v="9"/>
    <n v="52"/>
  </r>
  <r>
    <x v="2"/>
    <x v="2"/>
    <x v="2"/>
    <x v="9"/>
    <n v="26"/>
  </r>
  <r>
    <x v="2"/>
    <x v="2"/>
    <x v="2"/>
    <x v="7"/>
    <n v="500"/>
  </r>
  <r>
    <x v="2"/>
    <x v="3"/>
    <x v="2"/>
    <x v="8"/>
    <n v="175.86"/>
  </r>
  <r>
    <x v="2"/>
    <x v="3"/>
    <x v="2"/>
    <x v="8"/>
    <n v="302"/>
  </r>
  <r>
    <x v="2"/>
    <x v="3"/>
    <x v="2"/>
    <x v="8"/>
    <n v="141.15"/>
  </r>
  <r>
    <x v="2"/>
    <x v="3"/>
    <x v="2"/>
    <x v="8"/>
    <n v="180"/>
  </r>
  <r>
    <x v="2"/>
    <x v="3"/>
    <x v="2"/>
    <x v="8"/>
    <n v="248"/>
  </r>
  <r>
    <x v="2"/>
    <x v="3"/>
    <x v="2"/>
    <x v="9"/>
    <n v="78"/>
  </r>
  <r>
    <x v="2"/>
    <x v="3"/>
    <x v="2"/>
    <x v="9"/>
    <n v="52"/>
  </r>
  <r>
    <x v="2"/>
    <x v="3"/>
    <x v="2"/>
    <x v="9"/>
    <n v="130"/>
  </r>
  <r>
    <x v="2"/>
    <x v="3"/>
    <x v="2"/>
    <x v="9"/>
    <n v="175.5"/>
  </r>
  <r>
    <x v="2"/>
    <x v="4"/>
    <x v="2"/>
    <x v="8"/>
    <n v="122"/>
  </r>
  <r>
    <x v="2"/>
    <x v="4"/>
    <x v="2"/>
    <x v="8"/>
    <n v="227"/>
  </r>
  <r>
    <x v="2"/>
    <x v="4"/>
    <x v="2"/>
    <x v="8"/>
    <n v="76"/>
  </r>
  <r>
    <x v="2"/>
    <x v="4"/>
    <x v="2"/>
    <x v="9"/>
    <n v="97.5"/>
  </r>
  <r>
    <x v="2"/>
    <x v="4"/>
    <x v="2"/>
    <x v="9"/>
    <n v="121"/>
  </r>
  <r>
    <x v="2"/>
    <x v="5"/>
    <x v="2"/>
    <x v="8"/>
    <n v="180"/>
  </r>
  <r>
    <x v="2"/>
    <x v="5"/>
    <x v="2"/>
    <x v="8"/>
    <n v="219"/>
  </r>
  <r>
    <x v="2"/>
    <x v="5"/>
    <x v="2"/>
    <x v="8"/>
    <n v="226"/>
  </r>
  <r>
    <x v="2"/>
    <x v="5"/>
    <x v="2"/>
    <x v="8"/>
    <n v="321"/>
  </r>
  <r>
    <x v="2"/>
    <x v="5"/>
    <x v="2"/>
    <x v="9"/>
    <n v="78"/>
  </r>
  <r>
    <x v="2"/>
    <x v="5"/>
    <x v="2"/>
    <x v="9"/>
    <n v="71.5"/>
  </r>
  <r>
    <x v="2"/>
    <x v="5"/>
    <x v="2"/>
    <x v="9"/>
    <n v="125"/>
  </r>
  <r>
    <x v="2"/>
    <x v="5"/>
    <x v="2"/>
    <x v="9"/>
    <n v="78"/>
  </r>
  <r>
    <x v="2"/>
    <x v="12"/>
    <x v="2"/>
    <x v="8"/>
    <n v="363"/>
  </r>
  <r>
    <x v="2"/>
    <x v="12"/>
    <x v="2"/>
    <x v="8"/>
    <n v="334"/>
  </r>
  <r>
    <x v="2"/>
    <x v="12"/>
    <x v="2"/>
    <x v="8"/>
    <n v="406"/>
  </r>
  <r>
    <x v="2"/>
    <x v="12"/>
    <x v="2"/>
    <x v="8"/>
    <n v="19"/>
  </r>
  <r>
    <x v="2"/>
    <x v="12"/>
    <x v="2"/>
    <x v="8"/>
    <n v="349"/>
  </r>
  <r>
    <x v="2"/>
    <x v="12"/>
    <x v="2"/>
    <x v="9"/>
    <n v="78"/>
  </r>
  <r>
    <x v="2"/>
    <x v="12"/>
    <x v="2"/>
    <x v="9"/>
    <n v="20"/>
  </r>
  <r>
    <x v="2"/>
    <x v="12"/>
    <x v="1"/>
    <x v="6"/>
    <n v="20"/>
  </r>
  <r>
    <x v="2"/>
    <x v="7"/>
    <x v="1"/>
    <x v="6"/>
    <n v="50"/>
  </r>
  <r>
    <x v="2"/>
    <x v="7"/>
    <x v="2"/>
    <x v="8"/>
    <n v="427"/>
  </r>
  <r>
    <x v="2"/>
    <x v="7"/>
    <x v="2"/>
    <x v="8"/>
    <n v="409"/>
  </r>
  <r>
    <x v="2"/>
    <x v="7"/>
    <x v="2"/>
    <x v="8"/>
    <n v="290"/>
  </r>
  <r>
    <x v="2"/>
    <x v="7"/>
    <x v="2"/>
    <x v="8"/>
    <n v="503"/>
  </r>
  <r>
    <x v="2"/>
    <x v="7"/>
    <x v="2"/>
    <x v="8"/>
    <n v="479"/>
  </r>
  <r>
    <x v="2"/>
    <x v="7"/>
    <x v="2"/>
    <x v="9"/>
    <n v="71.5"/>
  </r>
  <r>
    <x v="2"/>
    <x v="7"/>
    <x v="2"/>
    <x v="9"/>
    <n v="32.5"/>
  </r>
  <r>
    <x v="2"/>
    <x v="7"/>
    <x v="2"/>
    <x v="10"/>
    <n v="387"/>
  </r>
  <r>
    <x v="3"/>
    <x v="8"/>
    <x v="2"/>
    <x v="8"/>
    <n v="722.52"/>
  </r>
  <r>
    <x v="3"/>
    <x v="8"/>
    <x v="2"/>
    <x v="8"/>
    <n v="353"/>
  </r>
  <r>
    <x v="3"/>
    <x v="8"/>
    <x v="2"/>
    <x v="8"/>
    <n v="282"/>
  </r>
  <r>
    <x v="3"/>
    <x v="8"/>
    <x v="2"/>
    <x v="8"/>
    <n v="371"/>
  </r>
  <r>
    <x v="3"/>
    <x v="8"/>
    <x v="2"/>
    <x v="10"/>
    <n v="77.5"/>
  </r>
  <r>
    <x v="3"/>
    <x v="9"/>
    <x v="2"/>
    <x v="8"/>
    <n v="197"/>
  </r>
  <r>
    <x v="3"/>
    <x v="9"/>
    <x v="2"/>
    <x v="8"/>
    <n v="355"/>
  </r>
  <r>
    <x v="3"/>
    <x v="9"/>
    <x v="2"/>
    <x v="8"/>
    <n v="333"/>
  </r>
  <r>
    <x v="3"/>
    <x v="9"/>
    <x v="2"/>
    <x v="8"/>
    <n v="359.57"/>
  </r>
  <r>
    <x v="3"/>
    <x v="9"/>
    <x v="2"/>
    <x v="8"/>
    <n v="343"/>
  </r>
  <r>
    <x v="3"/>
    <x v="9"/>
    <x v="2"/>
    <x v="9"/>
    <n v="27"/>
  </r>
  <r>
    <x v="3"/>
    <x v="9"/>
    <x v="2"/>
    <x v="10"/>
    <n v="200"/>
  </r>
  <r>
    <x v="3"/>
    <x v="10"/>
    <x v="2"/>
    <x v="8"/>
    <n v="262.64999999999998"/>
  </r>
  <r>
    <x v="3"/>
    <x v="10"/>
    <x v="2"/>
    <x v="8"/>
    <n v="320"/>
  </r>
  <r>
    <x v="3"/>
    <x v="10"/>
    <x v="2"/>
    <x v="8"/>
    <n v="386.92"/>
  </r>
  <r>
    <x v="3"/>
    <x v="10"/>
    <x v="2"/>
    <x v="8"/>
    <n v="347"/>
  </r>
  <r>
    <x v="3"/>
    <x v="10"/>
    <x v="2"/>
    <x v="10"/>
    <n v="95"/>
  </r>
  <r>
    <x v="3"/>
    <x v="11"/>
    <x v="2"/>
    <x v="8"/>
    <n v="400"/>
  </r>
  <r>
    <x v="3"/>
    <x v="11"/>
    <x v="2"/>
    <x v="8"/>
    <n v="96"/>
  </r>
  <r>
    <x v="3"/>
    <x v="11"/>
    <x v="2"/>
    <x v="8"/>
    <n v="366"/>
  </r>
  <r>
    <x v="3"/>
    <x v="11"/>
    <x v="2"/>
    <x v="8"/>
    <n v="409"/>
  </r>
  <r>
    <x v="3"/>
    <x v="11"/>
    <x v="2"/>
    <x v="8"/>
    <n v="883"/>
  </r>
  <r>
    <x v="3"/>
    <x v="11"/>
    <x v="2"/>
    <x v="10"/>
    <n v="147"/>
  </r>
  <r>
    <x v="3"/>
    <x v="0"/>
    <x v="2"/>
    <x v="8"/>
    <n v="390"/>
  </r>
  <r>
    <x v="3"/>
    <x v="0"/>
    <x v="2"/>
    <x v="8"/>
    <n v="402.21"/>
  </r>
  <r>
    <x v="3"/>
    <x v="0"/>
    <x v="2"/>
    <x v="8"/>
    <n v="448"/>
  </r>
  <r>
    <x v="3"/>
    <x v="0"/>
    <x v="2"/>
    <x v="8"/>
    <n v="426"/>
  </r>
  <r>
    <x v="3"/>
    <x v="0"/>
    <x v="2"/>
    <x v="10"/>
    <n v="209"/>
  </r>
  <r>
    <x v="3"/>
    <x v="1"/>
    <x v="2"/>
    <x v="8"/>
    <n v="211.43"/>
  </r>
  <r>
    <x v="3"/>
    <x v="1"/>
    <x v="2"/>
    <x v="8"/>
    <n v="260.57"/>
  </r>
  <r>
    <x v="3"/>
    <x v="1"/>
    <x v="2"/>
    <x v="8"/>
    <n v="387.43"/>
  </r>
  <r>
    <x v="3"/>
    <x v="1"/>
    <x v="2"/>
    <x v="8"/>
    <n v="442.49"/>
  </r>
  <r>
    <x v="3"/>
    <x v="1"/>
    <x v="2"/>
    <x v="10"/>
    <n v="192"/>
  </r>
  <r>
    <x v="3"/>
    <x v="2"/>
    <x v="2"/>
    <x v="8"/>
    <n v="331"/>
  </r>
  <r>
    <x v="3"/>
    <x v="2"/>
    <x v="2"/>
    <x v="8"/>
    <n v="362.26"/>
  </r>
  <r>
    <x v="3"/>
    <x v="2"/>
    <x v="2"/>
    <x v="8"/>
    <n v="386"/>
  </r>
  <r>
    <x v="3"/>
    <x v="2"/>
    <x v="2"/>
    <x v="8"/>
    <n v="415"/>
  </r>
  <r>
    <x v="3"/>
    <x v="2"/>
    <x v="2"/>
    <x v="8"/>
    <n v="390"/>
  </r>
  <r>
    <x v="3"/>
    <x v="2"/>
    <x v="2"/>
    <x v="10"/>
    <n v="145"/>
  </r>
  <r>
    <x v="3"/>
    <x v="3"/>
    <x v="2"/>
    <x v="8"/>
    <n v="456"/>
  </r>
  <r>
    <x v="3"/>
    <x v="3"/>
    <x v="2"/>
    <x v="8"/>
    <n v="285"/>
  </r>
  <r>
    <x v="3"/>
    <x v="3"/>
    <x v="2"/>
    <x v="8"/>
    <n v="414"/>
  </r>
  <r>
    <x v="3"/>
    <x v="3"/>
    <x v="2"/>
    <x v="8"/>
    <n v="403"/>
  </r>
  <r>
    <x v="3"/>
    <x v="3"/>
    <x v="2"/>
    <x v="10"/>
    <n v="135"/>
  </r>
  <r>
    <x v="3"/>
    <x v="4"/>
    <x v="2"/>
    <x v="8"/>
    <n v="300"/>
  </r>
  <r>
    <x v="3"/>
    <x v="4"/>
    <x v="2"/>
    <x v="8"/>
    <n v="309"/>
  </r>
  <r>
    <x v="3"/>
    <x v="4"/>
    <x v="2"/>
    <x v="8"/>
    <n v="442"/>
  </r>
  <r>
    <x v="3"/>
    <x v="4"/>
    <x v="2"/>
    <x v="8"/>
    <n v="466"/>
  </r>
  <r>
    <x v="3"/>
    <x v="4"/>
    <x v="2"/>
    <x v="10"/>
    <n v="38"/>
  </r>
  <r>
    <x v="3"/>
    <x v="4"/>
    <x v="1"/>
    <x v="6"/>
    <n v="150"/>
  </r>
  <r>
    <x v="3"/>
    <x v="5"/>
    <x v="2"/>
    <x v="8"/>
    <n v="445"/>
  </r>
  <r>
    <x v="3"/>
    <x v="5"/>
    <x v="2"/>
    <x v="8"/>
    <n v="382"/>
  </r>
  <r>
    <x v="3"/>
    <x v="5"/>
    <x v="2"/>
    <x v="8"/>
    <n v="390"/>
  </r>
  <r>
    <x v="3"/>
    <x v="5"/>
    <x v="2"/>
    <x v="8"/>
    <n v="476"/>
  </r>
  <r>
    <x v="3"/>
    <x v="5"/>
    <x v="2"/>
    <x v="8"/>
    <n v="375"/>
  </r>
  <r>
    <x v="3"/>
    <x v="12"/>
    <x v="2"/>
    <x v="8"/>
    <n v="452"/>
  </r>
  <r>
    <x v="3"/>
    <x v="12"/>
    <x v="2"/>
    <x v="8"/>
    <n v="468"/>
  </r>
  <r>
    <x v="3"/>
    <x v="12"/>
    <x v="2"/>
    <x v="8"/>
    <n v="374"/>
  </r>
  <r>
    <x v="3"/>
    <x v="12"/>
    <x v="2"/>
    <x v="8"/>
    <n v="484"/>
  </r>
  <r>
    <x v="3"/>
    <x v="12"/>
    <x v="2"/>
    <x v="10"/>
    <n v="79"/>
  </r>
  <r>
    <x v="3"/>
    <x v="7"/>
    <x v="2"/>
    <x v="8"/>
    <n v="470"/>
  </r>
  <r>
    <x v="3"/>
    <x v="7"/>
    <x v="2"/>
    <x v="8"/>
    <n v="543.29999999999995"/>
  </r>
  <r>
    <x v="3"/>
    <x v="7"/>
    <x v="2"/>
    <x v="8"/>
    <n v="524"/>
  </r>
  <r>
    <x v="3"/>
    <x v="7"/>
    <x v="2"/>
    <x v="8"/>
    <n v="568"/>
  </r>
  <r>
    <x v="3"/>
    <x v="7"/>
    <x v="2"/>
    <x v="8"/>
    <n v="525.29999999999995"/>
  </r>
  <r>
    <x v="3"/>
    <x v="7"/>
    <x v="2"/>
    <x v="10"/>
    <n v="65"/>
  </r>
  <r>
    <x v="3"/>
    <x v="7"/>
    <x v="2"/>
    <x v="10"/>
    <n v="40"/>
  </r>
  <r>
    <x v="3"/>
    <x v="7"/>
    <x v="2"/>
    <x v="10"/>
    <n v="60"/>
  </r>
  <r>
    <x v="3"/>
    <x v="7"/>
    <x v="2"/>
    <x v="10"/>
    <n v="60"/>
  </r>
  <r>
    <x v="3"/>
    <x v="7"/>
    <x v="1"/>
    <x v="6"/>
    <n v="50"/>
  </r>
  <r>
    <x v="4"/>
    <x v="13"/>
    <x v="2"/>
    <x v="8"/>
    <n v="656.86"/>
  </r>
  <r>
    <x v="4"/>
    <x v="13"/>
    <x v="2"/>
    <x v="8"/>
    <n v="413.96"/>
  </r>
  <r>
    <x v="4"/>
    <x v="13"/>
    <x v="2"/>
    <x v="8"/>
    <n v="428.92"/>
  </r>
  <r>
    <x v="4"/>
    <x v="13"/>
    <x v="2"/>
    <x v="8"/>
    <n v="492.68"/>
  </r>
  <r>
    <x v="4"/>
    <x v="14"/>
    <x v="2"/>
    <x v="8"/>
    <n v="471.61"/>
  </r>
  <r>
    <x v="4"/>
    <x v="14"/>
    <x v="2"/>
    <x v="8"/>
    <n v="485.35"/>
  </r>
  <r>
    <x v="4"/>
    <x v="14"/>
    <x v="2"/>
    <x v="8"/>
    <n v="517.70000000000005"/>
  </r>
  <r>
    <x v="4"/>
    <x v="14"/>
    <x v="2"/>
    <x v="8"/>
    <n v="492.24"/>
  </r>
  <r>
    <x v="4"/>
    <x v="10"/>
    <x v="2"/>
    <x v="8"/>
    <n v="482.11"/>
  </r>
  <r>
    <x v="4"/>
    <x v="10"/>
    <x v="2"/>
    <x v="8"/>
    <n v="524.69000000000005"/>
  </r>
  <r>
    <x v="4"/>
    <x v="10"/>
    <x v="2"/>
    <x v="8"/>
    <n v="510.4"/>
  </r>
  <r>
    <x v="4"/>
    <x v="10"/>
    <x v="2"/>
    <x v="8"/>
    <n v="471.46"/>
  </r>
  <r>
    <x v="4"/>
    <x v="11"/>
    <x v="2"/>
    <x v="8"/>
    <n v="507.79"/>
  </r>
  <r>
    <x v="4"/>
    <x v="11"/>
    <x v="2"/>
    <x v="8"/>
    <n v="529.46"/>
  </r>
  <r>
    <x v="4"/>
    <x v="11"/>
    <x v="2"/>
    <x v="8"/>
    <n v="423.05"/>
  </r>
  <r>
    <x v="4"/>
    <x v="11"/>
    <x v="2"/>
    <x v="8"/>
    <n v="428.93"/>
  </r>
  <r>
    <x v="4"/>
    <x v="11"/>
    <x v="2"/>
    <x v="8"/>
    <n v="536.74"/>
  </r>
  <r>
    <x v="4"/>
    <x v="0"/>
    <x v="2"/>
    <x v="8"/>
    <n v="461.36"/>
  </r>
  <r>
    <x v="4"/>
    <x v="0"/>
    <x v="2"/>
    <x v="8"/>
    <n v="503.02"/>
  </r>
  <r>
    <x v="4"/>
    <x v="0"/>
    <x v="2"/>
    <x v="8"/>
    <n v="513.70000000000005"/>
  </r>
  <r>
    <x v="4"/>
    <x v="0"/>
    <x v="2"/>
    <x v="8"/>
    <n v="513.71"/>
  </r>
  <r>
    <x v="4"/>
    <x v="1"/>
    <x v="2"/>
    <x v="8"/>
    <n v="264.52999999999997"/>
  </r>
  <r>
    <x v="4"/>
    <x v="1"/>
    <x v="2"/>
    <x v="8"/>
    <n v="558.98"/>
  </r>
  <r>
    <x v="4"/>
    <x v="1"/>
    <x v="2"/>
    <x v="8"/>
    <n v="490.1"/>
  </r>
  <r>
    <x v="4"/>
    <x v="1"/>
    <x v="2"/>
    <x v="8"/>
    <n v="495.88"/>
  </r>
  <r>
    <x v="4"/>
    <x v="1"/>
    <x v="1"/>
    <x v="6"/>
    <n v="250"/>
  </r>
  <r>
    <x v="4"/>
    <x v="14"/>
    <x v="2"/>
    <x v="10"/>
    <n v="40"/>
  </r>
  <r>
    <x v="4"/>
    <x v="10"/>
    <x v="1"/>
    <x v="3"/>
    <n v="427.4"/>
  </r>
  <r>
    <x v="4"/>
    <x v="11"/>
    <x v="2"/>
    <x v="10"/>
    <n v="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x v="0"/>
    <x v="0"/>
    <x v="0"/>
    <x v="0"/>
    <n v="16.8"/>
    <x v="0"/>
    <x v="0"/>
    <x v="0"/>
  </r>
  <r>
    <x v="0"/>
    <x v="0"/>
    <x v="1"/>
    <x v="1"/>
    <n v="200"/>
    <x v="1"/>
    <x v="0"/>
    <x v="0"/>
  </r>
  <r>
    <x v="0"/>
    <x v="0"/>
    <x v="1"/>
    <x v="2"/>
    <n v="30.9"/>
    <x v="2"/>
    <x v="0"/>
    <x v="0"/>
  </r>
  <r>
    <x v="0"/>
    <x v="0"/>
    <x v="0"/>
    <x v="3"/>
    <n v="175"/>
    <x v="3"/>
    <x v="1"/>
    <x v="0"/>
  </r>
  <r>
    <x v="0"/>
    <x v="0"/>
    <x v="0"/>
    <x v="4"/>
    <n v="75"/>
    <x v="4"/>
    <x v="0"/>
    <x v="0"/>
  </r>
  <r>
    <x v="0"/>
    <x v="0"/>
    <x v="0"/>
    <x v="5"/>
    <n v="193.13"/>
    <x v="5"/>
    <x v="1"/>
    <x v="0"/>
  </r>
  <r>
    <x v="0"/>
    <x v="0"/>
    <x v="1"/>
    <x v="6"/>
    <n v="318.16000000000003"/>
    <x v="6"/>
    <x v="0"/>
    <x v="0"/>
  </r>
  <r>
    <x v="0"/>
    <x v="0"/>
    <x v="1"/>
    <x v="7"/>
    <n v="92.8"/>
    <x v="7"/>
    <x v="0"/>
    <x v="0"/>
  </r>
  <r>
    <x v="0"/>
    <x v="0"/>
    <x v="1"/>
    <x v="7"/>
    <n v="14"/>
    <x v="8"/>
    <x v="1"/>
    <x v="0"/>
  </r>
  <r>
    <x v="0"/>
    <x v="0"/>
    <x v="0"/>
    <x v="8"/>
    <n v="25"/>
    <x v="9"/>
    <x v="1"/>
    <x v="0"/>
  </r>
  <r>
    <x v="0"/>
    <x v="0"/>
    <x v="0"/>
    <x v="9"/>
    <n v="18"/>
    <x v="10"/>
    <x v="1"/>
    <x v="0"/>
  </r>
  <r>
    <x v="0"/>
    <x v="0"/>
    <x v="0"/>
    <x v="9"/>
    <n v="19.8"/>
    <x v="10"/>
    <x v="1"/>
    <x v="0"/>
  </r>
  <r>
    <x v="0"/>
    <x v="0"/>
    <x v="0"/>
    <x v="4"/>
    <n v="190"/>
    <x v="11"/>
    <x v="0"/>
    <x v="0"/>
  </r>
  <r>
    <x v="0"/>
    <x v="0"/>
    <x v="0"/>
    <x v="9"/>
    <n v="3.8"/>
    <x v="10"/>
    <x v="1"/>
    <x v="0"/>
  </r>
  <r>
    <x v="0"/>
    <x v="0"/>
    <x v="1"/>
    <x v="6"/>
    <n v="29.63"/>
    <x v="6"/>
    <x v="1"/>
    <x v="0"/>
  </r>
  <r>
    <x v="0"/>
    <x v="0"/>
    <x v="1"/>
    <x v="2"/>
    <n v="6.99"/>
    <x v="12"/>
    <x v="0"/>
    <x v="0"/>
  </r>
  <r>
    <x v="0"/>
    <x v="0"/>
    <x v="1"/>
    <x v="7"/>
    <n v="9.84"/>
    <x v="7"/>
    <x v="0"/>
    <x v="0"/>
  </r>
  <r>
    <x v="0"/>
    <x v="0"/>
    <x v="1"/>
    <x v="7"/>
    <n v="24.97"/>
    <x v="7"/>
    <x v="0"/>
    <x v="0"/>
  </r>
  <r>
    <x v="0"/>
    <x v="0"/>
    <x v="1"/>
    <x v="10"/>
    <n v="37"/>
    <x v="13"/>
    <x v="0"/>
    <x v="0"/>
  </r>
  <r>
    <x v="0"/>
    <x v="1"/>
    <x v="0"/>
    <x v="0"/>
    <n v="16.8"/>
    <x v="0"/>
    <x v="0"/>
    <x v="0"/>
  </r>
  <r>
    <x v="0"/>
    <x v="1"/>
    <x v="1"/>
    <x v="1"/>
    <n v="50.55"/>
    <x v="1"/>
    <x v="0"/>
    <x v="0"/>
  </r>
  <r>
    <x v="0"/>
    <x v="1"/>
    <x v="0"/>
    <x v="0"/>
    <n v="33"/>
    <x v="14"/>
    <x v="1"/>
    <x v="0"/>
  </r>
  <r>
    <x v="0"/>
    <x v="1"/>
    <x v="0"/>
    <x v="3"/>
    <n v="175"/>
    <x v="3"/>
    <x v="1"/>
    <x v="0"/>
  </r>
  <r>
    <x v="0"/>
    <x v="1"/>
    <x v="0"/>
    <x v="4"/>
    <n v="45"/>
    <x v="4"/>
    <x v="0"/>
    <x v="0"/>
  </r>
  <r>
    <x v="0"/>
    <x v="1"/>
    <x v="0"/>
    <x v="4"/>
    <n v="36"/>
    <x v="4"/>
    <x v="0"/>
    <x v="0"/>
  </r>
  <r>
    <x v="0"/>
    <x v="1"/>
    <x v="0"/>
    <x v="5"/>
    <n v="123.68"/>
    <x v="5"/>
    <x v="1"/>
    <x v="0"/>
  </r>
  <r>
    <x v="0"/>
    <x v="1"/>
    <x v="1"/>
    <x v="6"/>
    <n v="120.5"/>
    <x v="6"/>
    <x v="0"/>
    <x v="0"/>
  </r>
  <r>
    <x v="0"/>
    <x v="1"/>
    <x v="1"/>
    <x v="7"/>
    <n v="10.86"/>
    <x v="7"/>
    <x v="0"/>
    <x v="0"/>
  </r>
  <r>
    <x v="0"/>
    <x v="1"/>
    <x v="0"/>
    <x v="8"/>
    <n v="91.5"/>
    <x v="9"/>
    <x v="1"/>
    <x v="0"/>
  </r>
  <r>
    <x v="0"/>
    <x v="1"/>
    <x v="1"/>
    <x v="9"/>
    <n v="12.67"/>
    <x v="10"/>
    <x v="1"/>
    <x v="0"/>
  </r>
  <r>
    <x v="0"/>
    <x v="1"/>
    <x v="1"/>
    <x v="1"/>
    <n v="57.96"/>
    <x v="15"/>
    <x v="0"/>
    <x v="0"/>
  </r>
  <r>
    <x v="0"/>
    <x v="1"/>
    <x v="0"/>
    <x v="4"/>
    <n v="8.82"/>
    <x v="16"/>
    <x v="0"/>
    <x v="0"/>
  </r>
  <r>
    <x v="0"/>
    <x v="1"/>
    <x v="1"/>
    <x v="11"/>
    <n v="50"/>
    <x v="17"/>
    <x v="1"/>
    <x v="0"/>
  </r>
  <r>
    <x v="0"/>
    <x v="1"/>
    <x v="1"/>
    <x v="2"/>
    <n v="8.49"/>
    <x v="18"/>
    <x v="0"/>
    <x v="0"/>
  </r>
  <r>
    <x v="0"/>
    <x v="2"/>
    <x v="0"/>
    <x v="0"/>
    <n v="16.8"/>
    <x v="0"/>
    <x v="0"/>
    <x v="0"/>
  </r>
  <r>
    <x v="0"/>
    <x v="2"/>
    <x v="1"/>
    <x v="1"/>
    <n v="50.55"/>
    <x v="1"/>
    <x v="0"/>
    <x v="0"/>
  </r>
  <r>
    <x v="0"/>
    <x v="2"/>
    <x v="0"/>
    <x v="3"/>
    <n v="175"/>
    <x v="3"/>
    <x v="1"/>
    <x v="0"/>
  </r>
  <r>
    <x v="0"/>
    <x v="2"/>
    <x v="0"/>
    <x v="0"/>
    <n v="39"/>
    <x v="14"/>
    <x v="1"/>
    <x v="0"/>
  </r>
  <r>
    <x v="0"/>
    <x v="2"/>
    <x v="0"/>
    <x v="4"/>
    <n v="30"/>
    <x v="4"/>
    <x v="0"/>
    <x v="0"/>
  </r>
  <r>
    <x v="0"/>
    <x v="2"/>
    <x v="0"/>
    <x v="5"/>
    <n v="223.03"/>
    <x v="5"/>
    <x v="1"/>
    <x v="0"/>
  </r>
  <r>
    <x v="0"/>
    <x v="2"/>
    <x v="1"/>
    <x v="6"/>
    <n v="69.7"/>
    <x v="6"/>
    <x v="1"/>
    <x v="0"/>
  </r>
  <r>
    <x v="0"/>
    <x v="2"/>
    <x v="1"/>
    <x v="7"/>
    <n v="51.66"/>
    <x v="7"/>
    <x v="0"/>
    <x v="0"/>
  </r>
  <r>
    <x v="0"/>
    <x v="2"/>
    <x v="0"/>
    <x v="9"/>
    <n v="33.659999999999997"/>
    <x v="10"/>
    <x v="1"/>
    <x v="0"/>
  </r>
  <r>
    <x v="0"/>
    <x v="2"/>
    <x v="1"/>
    <x v="6"/>
    <n v="6.5"/>
    <x v="6"/>
    <x v="1"/>
    <x v="0"/>
  </r>
  <r>
    <x v="0"/>
    <x v="2"/>
    <x v="1"/>
    <x v="7"/>
    <n v="121.84"/>
    <x v="7"/>
    <x v="0"/>
    <x v="0"/>
  </r>
  <r>
    <x v="0"/>
    <x v="3"/>
    <x v="0"/>
    <x v="0"/>
    <n v="16.8"/>
    <x v="0"/>
    <x v="0"/>
    <x v="0"/>
  </r>
  <r>
    <x v="0"/>
    <x v="3"/>
    <x v="0"/>
    <x v="3"/>
    <n v="175"/>
    <x v="3"/>
    <x v="1"/>
    <x v="0"/>
  </r>
  <r>
    <x v="0"/>
    <x v="3"/>
    <x v="0"/>
    <x v="0"/>
    <n v="50"/>
    <x v="14"/>
    <x v="1"/>
    <x v="0"/>
  </r>
  <r>
    <x v="0"/>
    <x v="3"/>
    <x v="0"/>
    <x v="4"/>
    <n v="50.44"/>
    <x v="4"/>
    <x v="0"/>
    <x v="0"/>
  </r>
  <r>
    <x v="0"/>
    <x v="3"/>
    <x v="0"/>
    <x v="5"/>
    <n v="274.61"/>
    <x v="5"/>
    <x v="1"/>
    <x v="0"/>
  </r>
  <r>
    <x v="0"/>
    <x v="3"/>
    <x v="1"/>
    <x v="6"/>
    <n v="28.8"/>
    <x v="6"/>
    <x v="1"/>
    <x v="0"/>
  </r>
  <r>
    <x v="0"/>
    <x v="3"/>
    <x v="1"/>
    <x v="7"/>
    <n v="76.33"/>
    <x v="7"/>
    <x v="0"/>
    <x v="0"/>
  </r>
  <r>
    <x v="0"/>
    <x v="3"/>
    <x v="0"/>
    <x v="4"/>
    <n v="77.67"/>
    <x v="4"/>
    <x v="0"/>
    <x v="0"/>
  </r>
  <r>
    <x v="0"/>
    <x v="3"/>
    <x v="1"/>
    <x v="10"/>
    <n v="20"/>
    <x v="13"/>
    <x v="0"/>
    <x v="0"/>
  </r>
  <r>
    <x v="0"/>
    <x v="3"/>
    <x v="1"/>
    <x v="7"/>
    <n v="101.95"/>
    <x v="19"/>
    <x v="0"/>
    <x v="0"/>
  </r>
  <r>
    <x v="0"/>
    <x v="3"/>
    <x v="1"/>
    <x v="6"/>
    <n v="10"/>
    <x v="6"/>
    <x v="1"/>
    <x v="0"/>
  </r>
  <r>
    <x v="0"/>
    <x v="4"/>
    <x v="0"/>
    <x v="0"/>
    <n v="16.8"/>
    <x v="0"/>
    <x v="0"/>
    <x v="0"/>
  </r>
  <r>
    <x v="0"/>
    <x v="4"/>
    <x v="0"/>
    <x v="3"/>
    <n v="175"/>
    <x v="3"/>
    <x v="1"/>
    <x v="0"/>
  </r>
  <r>
    <x v="0"/>
    <x v="4"/>
    <x v="0"/>
    <x v="0"/>
    <n v="65"/>
    <x v="14"/>
    <x v="1"/>
    <x v="0"/>
  </r>
  <r>
    <x v="0"/>
    <x v="4"/>
    <x v="0"/>
    <x v="4"/>
    <n v="81.099999999999994"/>
    <x v="4"/>
    <x v="0"/>
    <x v="0"/>
  </r>
  <r>
    <x v="0"/>
    <x v="4"/>
    <x v="0"/>
    <x v="5"/>
    <n v="87.56"/>
    <x v="5"/>
    <x v="1"/>
    <x v="0"/>
  </r>
  <r>
    <x v="0"/>
    <x v="4"/>
    <x v="0"/>
    <x v="4"/>
    <n v="19.899999999999999"/>
    <x v="4"/>
    <x v="0"/>
    <x v="0"/>
  </r>
  <r>
    <x v="0"/>
    <x v="4"/>
    <x v="0"/>
    <x v="4"/>
    <n v="164.79"/>
    <x v="11"/>
    <x v="0"/>
    <x v="0"/>
  </r>
  <r>
    <x v="0"/>
    <x v="4"/>
    <x v="0"/>
    <x v="5"/>
    <n v="31.03"/>
    <x v="5"/>
    <x v="1"/>
    <x v="0"/>
  </r>
  <r>
    <x v="0"/>
    <x v="4"/>
    <x v="1"/>
    <x v="6"/>
    <n v="35.97"/>
    <x v="6"/>
    <x v="1"/>
    <x v="0"/>
  </r>
  <r>
    <x v="0"/>
    <x v="4"/>
    <x v="1"/>
    <x v="6"/>
    <n v="63.21"/>
    <x v="6"/>
    <x v="1"/>
    <x v="0"/>
  </r>
  <r>
    <x v="0"/>
    <x v="4"/>
    <x v="1"/>
    <x v="1"/>
    <n v="36.340000000000003"/>
    <x v="15"/>
    <x v="0"/>
    <x v="0"/>
  </r>
  <r>
    <x v="0"/>
    <x v="4"/>
    <x v="0"/>
    <x v="8"/>
    <n v="17"/>
    <x v="9"/>
    <x v="1"/>
    <x v="0"/>
  </r>
  <r>
    <x v="0"/>
    <x v="4"/>
    <x v="1"/>
    <x v="11"/>
    <n v="205.5"/>
    <x v="17"/>
    <x v="1"/>
    <x v="0"/>
  </r>
  <r>
    <x v="0"/>
    <x v="5"/>
    <x v="0"/>
    <x v="0"/>
    <n v="16.8"/>
    <x v="0"/>
    <x v="0"/>
    <x v="0"/>
  </r>
  <r>
    <x v="0"/>
    <x v="5"/>
    <x v="0"/>
    <x v="3"/>
    <n v="175"/>
    <x v="3"/>
    <x v="1"/>
    <x v="0"/>
  </r>
  <r>
    <x v="0"/>
    <x v="5"/>
    <x v="0"/>
    <x v="0"/>
    <n v="97.5"/>
    <x v="14"/>
    <x v="1"/>
    <x v="0"/>
  </r>
  <r>
    <x v="0"/>
    <x v="5"/>
    <x v="0"/>
    <x v="4"/>
    <n v="40.04"/>
    <x v="4"/>
    <x v="0"/>
    <x v="0"/>
  </r>
  <r>
    <x v="0"/>
    <x v="5"/>
    <x v="0"/>
    <x v="5"/>
    <n v="180.62"/>
    <x v="5"/>
    <x v="1"/>
    <x v="0"/>
  </r>
  <r>
    <x v="0"/>
    <x v="5"/>
    <x v="0"/>
    <x v="4"/>
    <n v="73.459999999999994"/>
    <x v="4"/>
    <x v="0"/>
    <x v="0"/>
  </r>
  <r>
    <x v="0"/>
    <x v="5"/>
    <x v="0"/>
    <x v="4"/>
    <n v="20.07"/>
    <x v="4"/>
    <x v="0"/>
    <x v="0"/>
  </r>
  <r>
    <x v="0"/>
    <x v="5"/>
    <x v="0"/>
    <x v="4"/>
    <n v="30"/>
    <x v="11"/>
    <x v="0"/>
    <x v="0"/>
  </r>
  <r>
    <x v="0"/>
    <x v="5"/>
    <x v="0"/>
    <x v="4"/>
    <n v="268.08999999999997"/>
    <x v="20"/>
    <x v="0"/>
    <x v="0"/>
  </r>
  <r>
    <x v="0"/>
    <x v="5"/>
    <x v="0"/>
    <x v="9"/>
    <n v="22.59"/>
    <x v="10"/>
    <x v="1"/>
    <x v="0"/>
  </r>
  <r>
    <x v="0"/>
    <x v="5"/>
    <x v="0"/>
    <x v="5"/>
    <n v="22.06"/>
    <x v="5"/>
    <x v="1"/>
    <x v="0"/>
  </r>
  <r>
    <x v="0"/>
    <x v="5"/>
    <x v="1"/>
    <x v="6"/>
    <n v="79.069999999999993"/>
    <x v="6"/>
    <x v="1"/>
    <x v="0"/>
  </r>
  <r>
    <x v="0"/>
    <x v="5"/>
    <x v="1"/>
    <x v="6"/>
    <n v="34.4"/>
    <x v="6"/>
    <x v="1"/>
    <x v="0"/>
  </r>
  <r>
    <x v="0"/>
    <x v="5"/>
    <x v="1"/>
    <x v="7"/>
    <n v="11.79"/>
    <x v="7"/>
    <x v="0"/>
    <x v="0"/>
  </r>
  <r>
    <x v="0"/>
    <x v="5"/>
    <x v="1"/>
    <x v="1"/>
    <n v="209.93"/>
    <x v="15"/>
    <x v="0"/>
    <x v="0"/>
  </r>
  <r>
    <x v="0"/>
    <x v="6"/>
    <x v="0"/>
    <x v="0"/>
    <n v="16.8"/>
    <x v="0"/>
    <x v="0"/>
    <x v="0"/>
  </r>
  <r>
    <x v="0"/>
    <x v="6"/>
    <x v="0"/>
    <x v="3"/>
    <n v="175"/>
    <x v="3"/>
    <x v="1"/>
    <x v="0"/>
  </r>
  <r>
    <x v="0"/>
    <x v="6"/>
    <x v="0"/>
    <x v="0"/>
    <n v="27.5"/>
    <x v="14"/>
    <x v="1"/>
    <x v="0"/>
  </r>
  <r>
    <x v="0"/>
    <x v="6"/>
    <x v="0"/>
    <x v="4"/>
    <n v="62.27"/>
    <x v="4"/>
    <x v="0"/>
    <x v="0"/>
  </r>
  <r>
    <x v="0"/>
    <x v="6"/>
    <x v="0"/>
    <x v="5"/>
    <n v="126.14"/>
    <x v="5"/>
    <x v="1"/>
    <x v="0"/>
  </r>
  <r>
    <x v="0"/>
    <x v="6"/>
    <x v="0"/>
    <x v="9"/>
    <n v="20.62"/>
    <x v="10"/>
    <x v="0"/>
    <x v="0"/>
  </r>
  <r>
    <x v="0"/>
    <x v="6"/>
    <x v="0"/>
    <x v="4"/>
    <n v="70"/>
    <x v="21"/>
    <x v="1"/>
    <x v="0"/>
  </r>
  <r>
    <x v="0"/>
    <x v="6"/>
    <x v="1"/>
    <x v="1"/>
    <n v="368.76"/>
    <x v="15"/>
    <x v="0"/>
    <x v="0"/>
  </r>
  <r>
    <x v="0"/>
    <x v="6"/>
    <x v="1"/>
    <x v="6"/>
    <n v="19.38"/>
    <x v="6"/>
    <x v="1"/>
    <x v="0"/>
  </r>
  <r>
    <x v="0"/>
    <x v="6"/>
    <x v="1"/>
    <x v="6"/>
    <n v="21"/>
    <x v="6"/>
    <x v="1"/>
    <x v="0"/>
  </r>
  <r>
    <x v="0"/>
    <x v="6"/>
    <x v="1"/>
    <x v="7"/>
    <n v="73.540000000000006"/>
    <x v="7"/>
    <x v="0"/>
    <x v="0"/>
  </r>
  <r>
    <x v="0"/>
    <x v="7"/>
    <x v="0"/>
    <x v="3"/>
    <n v="175"/>
    <x v="3"/>
    <x v="1"/>
    <x v="0"/>
  </r>
  <r>
    <x v="0"/>
    <x v="7"/>
    <x v="0"/>
    <x v="0"/>
    <n v="44.75"/>
    <x v="14"/>
    <x v="1"/>
    <x v="0"/>
  </r>
  <r>
    <x v="0"/>
    <x v="7"/>
    <x v="0"/>
    <x v="4"/>
    <n v="50"/>
    <x v="4"/>
    <x v="0"/>
    <x v="0"/>
  </r>
  <r>
    <x v="0"/>
    <x v="7"/>
    <x v="0"/>
    <x v="5"/>
    <n v="133.29"/>
    <x v="5"/>
    <x v="1"/>
    <x v="0"/>
  </r>
  <r>
    <x v="0"/>
    <x v="7"/>
    <x v="0"/>
    <x v="9"/>
    <n v="34.56"/>
    <x v="10"/>
    <x v="1"/>
    <x v="0"/>
  </r>
  <r>
    <x v="0"/>
    <x v="7"/>
    <x v="0"/>
    <x v="4"/>
    <n v="34.92"/>
    <x v="11"/>
    <x v="0"/>
    <x v="0"/>
  </r>
  <r>
    <x v="0"/>
    <x v="7"/>
    <x v="1"/>
    <x v="1"/>
    <n v="209.8"/>
    <x v="15"/>
    <x v="0"/>
    <x v="0"/>
  </r>
  <r>
    <x v="0"/>
    <x v="7"/>
    <x v="1"/>
    <x v="6"/>
    <n v="17.78"/>
    <x v="6"/>
    <x v="1"/>
    <x v="0"/>
  </r>
  <r>
    <x v="0"/>
    <x v="7"/>
    <x v="1"/>
    <x v="6"/>
    <n v="55.3"/>
    <x v="6"/>
    <x v="1"/>
    <x v="0"/>
  </r>
  <r>
    <x v="0"/>
    <x v="7"/>
    <x v="1"/>
    <x v="7"/>
    <n v="40"/>
    <x v="7"/>
    <x v="0"/>
    <x v="0"/>
  </r>
  <r>
    <x v="0"/>
    <x v="7"/>
    <x v="0"/>
    <x v="0"/>
    <n v="16.8"/>
    <x v="0"/>
    <x v="0"/>
    <x v="0"/>
  </r>
  <r>
    <x v="0"/>
    <x v="7"/>
    <x v="0"/>
    <x v="12"/>
    <n v="139"/>
    <x v="22"/>
    <x v="0"/>
    <x v="0"/>
  </r>
  <r>
    <x v="0"/>
    <x v="7"/>
    <x v="0"/>
    <x v="4"/>
    <n v="55.41"/>
    <x v="4"/>
    <x v="0"/>
    <x v="0"/>
  </r>
  <r>
    <x v="0"/>
    <x v="7"/>
    <x v="0"/>
    <x v="4"/>
    <n v="120.91"/>
    <x v="23"/>
    <x v="1"/>
    <x v="0"/>
  </r>
  <r>
    <x v="0"/>
    <x v="7"/>
    <x v="0"/>
    <x v="4"/>
    <n v="31.8"/>
    <x v="21"/>
    <x v="1"/>
    <x v="0"/>
  </r>
  <r>
    <x v="1"/>
    <x v="8"/>
    <x v="0"/>
    <x v="3"/>
    <n v="175"/>
    <x v="3"/>
    <x v="1"/>
    <x v="1"/>
  </r>
  <r>
    <x v="1"/>
    <x v="8"/>
    <x v="0"/>
    <x v="0"/>
    <n v="64.8"/>
    <x v="14"/>
    <x v="1"/>
    <x v="1"/>
  </r>
  <r>
    <x v="1"/>
    <x v="8"/>
    <x v="0"/>
    <x v="4"/>
    <n v="64.38"/>
    <x v="4"/>
    <x v="0"/>
    <x v="2"/>
  </r>
  <r>
    <x v="1"/>
    <x v="8"/>
    <x v="0"/>
    <x v="5"/>
    <n v="139.19999999999999"/>
    <x v="5"/>
    <x v="1"/>
    <x v="2"/>
  </r>
  <r>
    <x v="1"/>
    <x v="8"/>
    <x v="0"/>
    <x v="9"/>
    <n v="14.9"/>
    <x v="10"/>
    <x v="1"/>
    <x v="2"/>
  </r>
  <r>
    <x v="1"/>
    <x v="8"/>
    <x v="1"/>
    <x v="1"/>
    <n v="100"/>
    <x v="15"/>
    <x v="0"/>
    <x v="3"/>
  </r>
  <r>
    <x v="1"/>
    <x v="8"/>
    <x v="1"/>
    <x v="6"/>
    <n v="44.07"/>
    <x v="6"/>
    <x v="1"/>
    <x v="3"/>
  </r>
  <r>
    <x v="1"/>
    <x v="8"/>
    <x v="1"/>
    <x v="7"/>
    <n v="51.44"/>
    <x v="7"/>
    <x v="0"/>
    <x v="3"/>
  </r>
  <r>
    <x v="1"/>
    <x v="8"/>
    <x v="0"/>
    <x v="0"/>
    <n v="16.8"/>
    <x v="0"/>
    <x v="0"/>
    <x v="2"/>
  </r>
  <r>
    <x v="1"/>
    <x v="8"/>
    <x v="1"/>
    <x v="7"/>
    <n v="42.99"/>
    <x v="8"/>
    <x v="1"/>
    <x v="3"/>
  </r>
  <r>
    <x v="1"/>
    <x v="8"/>
    <x v="2"/>
    <x v="10"/>
    <n v="3.43"/>
    <x v="13"/>
    <x v="0"/>
    <x v="3"/>
  </r>
  <r>
    <x v="1"/>
    <x v="9"/>
    <x v="0"/>
    <x v="3"/>
    <n v="175"/>
    <x v="3"/>
    <x v="1"/>
    <x v="1"/>
  </r>
  <r>
    <x v="1"/>
    <x v="9"/>
    <x v="0"/>
    <x v="0"/>
    <n v="20"/>
    <x v="14"/>
    <x v="1"/>
    <x v="1"/>
  </r>
  <r>
    <x v="1"/>
    <x v="9"/>
    <x v="0"/>
    <x v="4"/>
    <n v="64.31"/>
    <x v="4"/>
    <x v="0"/>
    <x v="2"/>
  </r>
  <r>
    <x v="1"/>
    <x v="9"/>
    <x v="0"/>
    <x v="5"/>
    <n v="132.1"/>
    <x v="5"/>
    <x v="1"/>
    <x v="2"/>
  </r>
  <r>
    <x v="1"/>
    <x v="9"/>
    <x v="0"/>
    <x v="9"/>
    <n v="21.9"/>
    <x v="10"/>
    <x v="1"/>
    <x v="2"/>
  </r>
  <r>
    <x v="1"/>
    <x v="9"/>
    <x v="1"/>
    <x v="7"/>
    <n v="17.100000000000001"/>
    <x v="24"/>
    <x v="0"/>
    <x v="3"/>
  </r>
  <r>
    <x v="1"/>
    <x v="9"/>
    <x v="1"/>
    <x v="6"/>
    <n v="7.99"/>
    <x v="6"/>
    <x v="1"/>
    <x v="3"/>
  </r>
  <r>
    <x v="1"/>
    <x v="9"/>
    <x v="1"/>
    <x v="7"/>
    <n v="41.09"/>
    <x v="7"/>
    <x v="0"/>
    <x v="3"/>
  </r>
  <r>
    <x v="1"/>
    <x v="9"/>
    <x v="0"/>
    <x v="0"/>
    <n v="26.9"/>
    <x v="0"/>
    <x v="0"/>
    <x v="2"/>
  </r>
  <r>
    <x v="1"/>
    <x v="9"/>
    <x v="1"/>
    <x v="7"/>
    <n v="4.5"/>
    <x v="8"/>
    <x v="1"/>
    <x v="3"/>
  </r>
  <r>
    <x v="1"/>
    <x v="9"/>
    <x v="0"/>
    <x v="12"/>
    <n v="50"/>
    <x v="22"/>
    <x v="0"/>
    <x v="4"/>
  </r>
  <r>
    <x v="1"/>
    <x v="9"/>
    <x v="1"/>
    <x v="11"/>
    <n v="29.05"/>
    <x v="17"/>
    <x v="1"/>
    <x v="3"/>
  </r>
  <r>
    <x v="1"/>
    <x v="10"/>
    <x v="0"/>
    <x v="3"/>
    <n v="175"/>
    <x v="3"/>
    <x v="1"/>
    <x v="1"/>
  </r>
  <r>
    <x v="1"/>
    <x v="10"/>
    <x v="0"/>
    <x v="0"/>
    <n v="108.5"/>
    <x v="14"/>
    <x v="1"/>
    <x v="1"/>
  </r>
  <r>
    <x v="1"/>
    <x v="10"/>
    <x v="0"/>
    <x v="4"/>
    <n v="95.26"/>
    <x v="4"/>
    <x v="0"/>
    <x v="2"/>
  </r>
  <r>
    <x v="1"/>
    <x v="10"/>
    <x v="0"/>
    <x v="5"/>
    <n v="148.68"/>
    <x v="5"/>
    <x v="1"/>
    <x v="2"/>
  </r>
  <r>
    <x v="1"/>
    <x v="10"/>
    <x v="0"/>
    <x v="9"/>
    <n v="12.58"/>
    <x v="10"/>
    <x v="1"/>
    <x v="2"/>
  </r>
  <r>
    <x v="1"/>
    <x v="10"/>
    <x v="1"/>
    <x v="6"/>
    <n v="70.75"/>
    <x v="6"/>
    <x v="1"/>
    <x v="3"/>
  </r>
  <r>
    <x v="1"/>
    <x v="10"/>
    <x v="1"/>
    <x v="7"/>
    <n v="44.9"/>
    <x v="7"/>
    <x v="0"/>
    <x v="3"/>
  </r>
  <r>
    <x v="1"/>
    <x v="10"/>
    <x v="0"/>
    <x v="0"/>
    <n v="16.8"/>
    <x v="0"/>
    <x v="0"/>
    <x v="2"/>
  </r>
  <r>
    <x v="1"/>
    <x v="10"/>
    <x v="1"/>
    <x v="11"/>
    <n v="198.25"/>
    <x v="17"/>
    <x v="1"/>
    <x v="3"/>
  </r>
  <r>
    <x v="1"/>
    <x v="10"/>
    <x v="2"/>
    <x v="10"/>
    <n v="4.4800000000000004"/>
    <x v="13"/>
    <x v="0"/>
    <x v="3"/>
  </r>
  <r>
    <x v="1"/>
    <x v="11"/>
    <x v="0"/>
    <x v="0"/>
    <n v="20"/>
    <x v="14"/>
    <x v="1"/>
    <x v="1"/>
  </r>
  <r>
    <x v="1"/>
    <x v="11"/>
    <x v="0"/>
    <x v="5"/>
    <n v="75.37"/>
    <x v="5"/>
    <x v="1"/>
    <x v="2"/>
  </r>
  <r>
    <x v="1"/>
    <x v="11"/>
    <x v="0"/>
    <x v="9"/>
    <n v="74.89"/>
    <x v="10"/>
    <x v="1"/>
    <x v="2"/>
  </r>
  <r>
    <x v="1"/>
    <x v="11"/>
    <x v="1"/>
    <x v="1"/>
    <n v="50"/>
    <x v="15"/>
    <x v="0"/>
    <x v="3"/>
  </r>
  <r>
    <x v="1"/>
    <x v="11"/>
    <x v="1"/>
    <x v="6"/>
    <n v="211.01"/>
    <x v="6"/>
    <x v="1"/>
    <x v="3"/>
  </r>
  <r>
    <x v="1"/>
    <x v="11"/>
    <x v="1"/>
    <x v="7"/>
    <n v="29.99"/>
    <x v="7"/>
    <x v="0"/>
    <x v="3"/>
  </r>
  <r>
    <x v="1"/>
    <x v="11"/>
    <x v="0"/>
    <x v="0"/>
    <n v="18.11"/>
    <x v="0"/>
    <x v="0"/>
    <x v="2"/>
  </r>
  <r>
    <x v="1"/>
    <x v="11"/>
    <x v="1"/>
    <x v="7"/>
    <n v="5.25"/>
    <x v="8"/>
    <x v="1"/>
    <x v="3"/>
  </r>
  <r>
    <x v="1"/>
    <x v="11"/>
    <x v="1"/>
    <x v="11"/>
    <n v="150"/>
    <x v="17"/>
    <x v="1"/>
    <x v="3"/>
  </r>
  <r>
    <x v="1"/>
    <x v="11"/>
    <x v="2"/>
    <x v="10"/>
    <n v="22.22"/>
    <x v="13"/>
    <x v="0"/>
    <x v="3"/>
  </r>
  <r>
    <x v="1"/>
    <x v="0"/>
    <x v="0"/>
    <x v="3"/>
    <n v="350"/>
    <x v="25"/>
    <x v="1"/>
    <x v="1"/>
  </r>
  <r>
    <x v="1"/>
    <x v="0"/>
    <x v="0"/>
    <x v="0"/>
    <n v="5"/>
    <x v="14"/>
    <x v="1"/>
    <x v="1"/>
  </r>
  <r>
    <x v="1"/>
    <x v="0"/>
    <x v="0"/>
    <x v="4"/>
    <n v="15"/>
    <x v="26"/>
    <x v="0"/>
    <x v="4"/>
  </r>
  <r>
    <x v="1"/>
    <x v="0"/>
    <x v="0"/>
    <x v="5"/>
    <n v="217.71"/>
    <x v="5"/>
    <x v="1"/>
    <x v="4"/>
  </r>
  <r>
    <x v="1"/>
    <x v="0"/>
    <x v="0"/>
    <x v="9"/>
    <n v="61"/>
    <x v="10"/>
    <x v="1"/>
    <x v="2"/>
  </r>
  <r>
    <x v="1"/>
    <x v="0"/>
    <x v="1"/>
    <x v="7"/>
    <n v="14.6"/>
    <x v="24"/>
    <x v="0"/>
    <x v="3"/>
  </r>
  <r>
    <x v="1"/>
    <x v="0"/>
    <x v="1"/>
    <x v="6"/>
    <n v="109.62"/>
    <x v="6"/>
    <x v="1"/>
    <x v="3"/>
  </r>
  <r>
    <x v="1"/>
    <x v="0"/>
    <x v="1"/>
    <x v="7"/>
    <n v="222.99"/>
    <x v="7"/>
    <x v="0"/>
    <x v="3"/>
  </r>
  <r>
    <x v="1"/>
    <x v="0"/>
    <x v="1"/>
    <x v="7"/>
    <n v="70.13"/>
    <x v="8"/>
    <x v="1"/>
    <x v="3"/>
  </r>
  <r>
    <x v="1"/>
    <x v="0"/>
    <x v="0"/>
    <x v="5"/>
    <n v="48"/>
    <x v="5"/>
    <x v="1"/>
    <x v="2"/>
  </r>
  <r>
    <x v="1"/>
    <x v="0"/>
    <x v="2"/>
    <x v="10"/>
    <n v="7.44"/>
    <x v="13"/>
    <x v="0"/>
    <x v="3"/>
  </r>
  <r>
    <x v="1"/>
    <x v="1"/>
    <x v="0"/>
    <x v="3"/>
    <n v="350"/>
    <x v="25"/>
    <x v="1"/>
    <x v="1"/>
  </r>
  <r>
    <x v="1"/>
    <x v="1"/>
    <x v="0"/>
    <x v="0"/>
    <n v="87"/>
    <x v="14"/>
    <x v="1"/>
    <x v="1"/>
  </r>
  <r>
    <x v="1"/>
    <x v="1"/>
    <x v="0"/>
    <x v="4"/>
    <n v="5"/>
    <x v="26"/>
    <x v="0"/>
    <x v="4"/>
  </r>
  <r>
    <x v="1"/>
    <x v="1"/>
    <x v="0"/>
    <x v="5"/>
    <n v="280.83999999999997"/>
    <x v="5"/>
    <x v="1"/>
    <x v="2"/>
  </r>
  <r>
    <x v="1"/>
    <x v="1"/>
    <x v="0"/>
    <x v="9"/>
    <n v="9.2899999999999991"/>
    <x v="10"/>
    <x v="1"/>
    <x v="2"/>
  </r>
  <r>
    <x v="1"/>
    <x v="1"/>
    <x v="1"/>
    <x v="7"/>
    <n v="11"/>
    <x v="24"/>
    <x v="0"/>
    <x v="3"/>
  </r>
  <r>
    <x v="1"/>
    <x v="1"/>
    <x v="1"/>
    <x v="6"/>
    <n v="31.1"/>
    <x v="6"/>
    <x v="1"/>
    <x v="3"/>
  </r>
  <r>
    <x v="1"/>
    <x v="1"/>
    <x v="1"/>
    <x v="7"/>
    <n v="167.37"/>
    <x v="7"/>
    <x v="0"/>
    <x v="3"/>
  </r>
  <r>
    <x v="1"/>
    <x v="1"/>
    <x v="0"/>
    <x v="0"/>
    <n v="34"/>
    <x v="0"/>
    <x v="0"/>
    <x v="2"/>
  </r>
  <r>
    <x v="1"/>
    <x v="1"/>
    <x v="1"/>
    <x v="7"/>
    <n v="46.7"/>
    <x v="8"/>
    <x v="1"/>
    <x v="3"/>
  </r>
  <r>
    <x v="1"/>
    <x v="1"/>
    <x v="1"/>
    <x v="1"/>
    <n v="16.86"/>
    <x v="15"/>
    <x v="0"/>
    <x v="3"/>
  </r>
  <r>
    <x v="1"/>
    <x v="1"/>
    <x v="2"/>
    <x v="10"/>
    <n v="14.13"/>
    <x v="13"/>
    <x v="0"/>
    <x v="3"/>
  </r>
  <r>
    <x v="1"/>
    <x v="2"/>
    <x v="0"/>
    <x v="3"/>
    <n v="50"/>
    <x v="25"/>
    <x v="1"/>
    <x v="1"/>
  </r>
  <r>
    <x v="1"/>
    <x v="2"/>
    <x v="0"/>
    <x v="0"/>
    <n v="62.5"/>
    <x v="14"/>
    <x v="1"/>
    <x v="1"/>
  </r>
  <r>
    <x v="1"/>
    <x v="2"/>
    <x v="0"/>
    <x v="4"/>
    <n v="5"/>
    <x v="26"/>
    <x v="0"/>
    <x v="4"/>
  </r>
  <r>
    <x v="1"/>
    <x v="2"/>
    <x v="0"/>
    <x v="5"/>
    <n v="212.26"/>
    <x v="5"/>
    <x v="1"/>
    <x v="2"/>
  </r>
  <r>
    <x v="1"/>
    <x v="2"/>
    <x v="0"/>
    <x v="9"/>
    <n v="33.590000000000003"/>
    <x v="10"/>
    <x v="1"/>
    <x v="2"/>
  </r>
  <r>
    <x v="1"/>
    <x v="2"/>
    <x v="1"/>
    <x v="1"/>
    <n v="16.559999999999999"/>
    <x v="15"/>
    <x v="0"/>
    <x v="3"/>
  </r>
  <r>
    <x v="1"/>
    <x v="2"/>
    <x v="1"/>
    <x v="6"/>
    <n v="110"/>
    <x v="6"/>
    <x v="1"/>
    <x v="3"/>
  </r>
  <r>
    <x v="1"/>
    <x v="2"/>
    <x v="1"/>
    <x v="7"/>
    <n v="146.15"/>
    <x v="7"/>
    <x v="0"/>
    <x v="3"/>
  </r>
  <r>
    <x v="1"/>
    <x v="2"/>
    <x v="0"/>
    <x v="0"/>
    <n v="20"/>
    <x v="0"/>
    <x v="0"/>
    <x v="2"/>
  </r>
  <r>
    <x v="1"/>
    <x v="2"/>
    <x v="1"/>
    <x v="7"/>
    <n v="158.5"/>
    <x v="8"/>
    <x v="1"/>
    <x v="3"/>
  </r>
  <r>
    <x v="1"/>
    <x v="2"/>
    <x v="2"/>
    <x v="10"/>
    <n v="5.0599999999999996"/>
    <x v="13"/>
    <x v="0"/>
    <x v="3"/>
  </r>
  <r>
    <x v="1"/>
    <x v="3"/>
    <x v="0"/>
    <x v="3"/>
    <n v="400"/>
    <x v="27"/>
    <x v="1"/>
    <x v="1"/>
  </r>
  <r>
    <x v="1"/>
    <x v="3"/>
    <x v="0"/>
    <x v="0"/>
    <n v="50"/>
    <x v="14"/>
    <x v="1"/>
    <x v="1"/>
  </r>
  <r>
    <x v="1"/>
    <x v="3"/>
    <x v="0"/>
    <x v="4"/>
    <n v="30"/>
    <x v="26"/>
    <x v="0"/>
    <x v="4"/>
  </r>
  <r>
    <x v="1"/>
    <x v="3"/>
    <x v="0"/>
    <x v="5"/>
    <n v="138.56"/>
    <x v="5"/>
    <x v="1"/>
    <x v="2"/>
  </r>
  <r>
    <x v="1"/>
    <x v="3"/>
    <x v="0"/>
    <x v="8"/>
    <n v="151.79"/>
    <x v="9"/>
    <x v="0"/>
    <x v="4"/>
  </r>
  <r>
    <x v="1"/>
    <x v="3"/>
    <x v="1"/>
    <x v="1"/>
    <n v="473.02"/>
    <x v="28"/>
    <x v="0"/>
    <x v="3"/>
  </r>
  <r>
    <x v="1"/>
    <x v="3"/>
    <x v="1"/>
    <x v="6"/>
    <n v="69.25"/>
    <x v="6"/>
    <x v="1"/>
    <x v="3"/>
  </r>
  <r>
    <x v="1"/>
    <x v="3"/>
    <x v="1"/>
    <x v="7"/>
    <n v="26.47"/>
    <x v="7"/>
    <x v="0"/>
    <x v="3"/>
  </r>
  <r>
    <x v="1"/>
    <x v="3"/>
    <x v="0"/>
    <x v="0"/>
    <n v="50"/>
    <x v="0"/>
    <x v="0"/>
    <x v="2"/>
  </r>
  <r>
    <x v="1"/>
    <x v="3"/>
    <x v="1"/>
    <x v="11"/>
    <n v="316.88"/>
    <x v="17"/>
    <x v="1"/>
    <x v="3"/>
  </r>
  <r>
    <x v="1"/>
    <x v="3"/>
    <x v="0"/>
    <x v="5"/>
    <n v="42.35"/>
    <x v="5"/>
    <x v="1"/>
    <x v="2"/>
  </r>
  <r>
    <x v="1"/>
    <x v="3"/>
    <x v="2"/>
    <x v="10"/>
    <n v="10.77"/>
    <x v="13"/>
    <x v="0"/>
    <x v="3"/>
  </r>
  <r>
    <x v="1"/>
    <x v="4"/>
    <x v="0"/>
    <x v="3"/>
    <n v="400"/>
    <x v="27"/>
    <x v="1"/>
    <x v="1"/>
  </r>
  <r>
    <x v="1"/>
    <x v="4"/>
    <x v="0"/>
    <x v="0"/>
    <n v="62"/>
    <x v="14"/>
    <x v="1"/>
    <x v="1"/>
  </r>
  <r>
    <x v="1"/>
    <x v="4"/>
    <x v="0"/>
    <x v="4"/>
    <n v="24.4"/>
    <x v="26"/>
    <x v="0"/>
    <x v="4"/>
  </r>
  <r>
    <x v="1"/>
    <x v="4"/>
    <x v="0"/>
    <x v="5"/>
    <n v="263.77"/>
    <x v="5"/>
    <x v="1"/>
    <x v="2"/>
  </r>
  <r>
    <x v="1"/>
    <x v="4"/>
    <x v="1"/>
    <x v="1"/>
    <n v="1.99"/>
    <x v="15"/>
    <x v="0"/>
    <x v="3"/>
  </r>
  <r>
    <x v="1"/>
    <x v="4"/>
    <x v="1"/>
    <x v="6"/>
    <n v="90.5"/>
    <x v="6"/>
    <x v="1"/>
    <x v="3"/>
  </r>
  <r>
    <x v="1"/>
    <x v="4"/>
    <x v="1"/>
    <x v="7"/>
    <n v="173.2"/>
    <x v="7"/>
    <x v="0"/>
    <x v="3"/>
  </r>
  <r>
    <x v="1"/>
    <x v="4"/>
    <x v="0"/>
    <x v="0"/>
    <n v="22.61"/>
    <x v="0"/>
    <x v="0"/>
    <x v="2"/>
  </r>
  <r>
    <x v="1"/>
    <x v="4"/>
    <x v="0"/>
    <x v="5"/>
    <n v="29.33"/>
    <x v="5"/>
    <x v="1"/>
    <x v="2"/>
  </r>
  <r>
    <x v="1"/>
    <x v="4"/>
    <x v="1"/>
    <x v="7"/>
    <n v="6.29"/>
    <x v="24"/>
    <x v="0"/>
    <x v="3"/>
  </r>
  <r>
    <x v="1"/>
    <x v="4"/>
    <x v="2"/>
    <x v="10"/>
    <n v="21.29"/>
    <x v="13"/>
    <x v="0"/>
    <x v="3"/>
  </r>
  <r>
    <x v="1"/>
    <x v="5"/>
    <x v="0"/>
    <x v="3"/>
    <n v="500"/>
    <x v="27"/>
    <x v="1"/>
    <x v="1"/>
  </r>
  <r>
    <x v="1"/>
    <x v="5"/>
    <x v="0"/>
    <x v="0"/>
    <n v="62"/>
    <x v="14"/>
    <x v="1"/>
    <x v="1"/>
  </r>
  <r>
    <x v="1"/>
    <x v="5"/>
    <x v="0"/>
    <x v="4"/>
    <n v="98.98"/>
    <x v="4"/>
    <x v="0"/>
    <x v="2"/>
  </r>
  <r>
    <x v="1"/>
    <x v="5"/>
    <x v="0"/>
    <x v="5"/>
    <n v="152.91"/>
    <x v="5"/>
    <x v="1"/>
    <x v="2"/>
  </r>
  <r>
    <x v="1"/>
    <x v="5"/>
    <x v="0"/>
    <x v="9"/>
    <n v="41.49"/>
    <x v="10"/>
    <x v="1"/>
    <x v="2"/>
  </r>
  <r>
    <x v="1"/>
    <x v="5"/>
    <x v="1"/>
    <x v="1"/>
    <n v="330.99"/>
    <x v="15"/>
    <x v="0"/>
    <x v="3"/>
  </r>
  <r>
    <x v="1"/>
    <x v="5"/>
    <x v="1"/>
    <x v="6"/>
    <n v="92.07"/>
    <x v="6"/>
    <x v="1"/>
    <x v="3"/>
  </r>
  <r>
    <x v="1"/>
    <x v="5"/>
    <x v="1"/>
    <x v="7"/>
    <n v="34.9"/>
    <x v="7"/>
    <x v="0"/>
    <x v="3"/>
  </r>
  <r>
    <x v="1"/>
    <x v="5"/>
    <x v="0"/>
    <x v="0"/>
    <n v="21.64"/>
    <x v="0"/>
    <x v="0"/>
    <x v="2"/>
  </r>
  <r>
    <x v="1"/>
    <x v="5"/>
    <x v="0"/>
    <x v="4"/>
    <n v="115"/>
    <x v="11"/>
    <x v="1"/>
    <x v="4"/>
  </r>
  <r>
    <x v="1"/>
    <x v="5"/>
    <x v="2"/>
    <x v="10"/>
    <n v="18.04"/>
    <x v="13"/>
    <x v="0"/>
    <x v="3"/>
  </r>
  <r>
    <x v="1"/>
    <x v="6"/>
    <x v="0"/>
    <x v="3"/>
    <n v="500"/>
    <x v="27"/>
    <x v="1"/>
    <x v="1"/>
  </r>
  <r>
    <x v="1"/>
    <x v="6"/>
    <x v="0"/>
    <x v="0"/>
    <n v="78"/>
    <x v="14"/>
    <x v="1"/>
    <x v="1"/>
  </r>
  <r>
    <x v="1"/>
    <x v="6"/>
    <x v="0"/>
    <x v="4"/>
    <n v="99.25"/>
    <x v="4"/>
    <x v="0"/>
    <x v="2"/>
  </r>
  <r>
    <x v="1"/>
    <x v="6"/>
    <x v="0"/>
    <x v="5"/>
    <n v="223.59"/>
    <x v="5"/>
    <x v="1"/>
    <x v="2"/>
  </r>
  <r>
    <x v="1"/>
    <x v="6"/>
    <x v="1"/>
    <x v="1"/>
    <n v="496.28"/>
    <x v="15"/>
    <x v="0"/>
    <x v="3"/>
  </r>
  <r>
    <x v="1"/>
    <x v="6"/>
    <x v="1"/>
    <x v="6"/>
    <n v="48.5"/>
    <x v="6"/>
    <x v="1"/>
    <x v="3"/>
  </r>
  <r>
    <x v="1"/>
    <x v="6"/>
    <x v="1"/>
    <x v="7"/>
    <n v="84.73"/>
    <x v="7"/>
    <x v="0"/>
    <x v="3"/>
  </r>
  <r>
    <x v="1"/>
    <x v="6"/>
    <x v="0"/>
    <x v="0"/>
    <n v="20"/>
    <x v="0"/>
    <x v="0"/>
    <x v="2"/>
  </r>
  <r>
    <x v="1"/>
    <x v="6"/>
    <x v="1"/>
    <x v="7"/>
    <n v="41"/>
    <x v="8"/>
    <x v="1"/>
    <x v="3"/>
  </r>
  <r>
    <x v="1"/>
    <x v="6"/>
    <x v="2"/>
    <x v="10"/>
    <n v="8.2799999999999994"/>
    <x v="13"/>
    <x v="0"/>
    <x v="3"/>
  </r>
  <r>
    <x v="1"/>
    <x v="7"/>
    <x v="0"/>
    <x v="3"/>
    <n v="500"/>
    <x v="27"/>
    <x v="1"/>
    <x v="1"/>
  </r>
  <r>
    <x v="1"/>
    <x v="7"/>
    <x v="0"/>
    <x v="0"/>
    <n v="44"/>
    <x v="14"/>
    <x v="1"/>
    <x v="1"/>
  </r>
  <r>
    <x v="1"/>
    <x v="7"/>
    <x v="0"/>
    <x v="4"/>
    <n v="53.01"/>
    <x v="4"/>
    <x v="0"/>
    <x v="2"/>
  </r>
  <r>
    <x v="1"/>
    <x v="7"/>
    <x v="0"/>
    <x v="5"/>
    <n v="124.26"/>
    <x v="5"/>
    <x v="1"/>
    <x v="2"/>
  </r>
  <r>
    <x v="1"/>
    <x v="7"/>
    <x v="0"/>
    <x v="9"/>
    <n v="3"/>
    <x v="10"/>
    <x v="1"/>
    <x v="2"/>
  </r>
  <r>
    <x v="1"/>
    <x v="7"/>
    <x v="1"/>
    <x v="1"/>
    <n v="250"/>
    <x v="15"/>
    <x v="0"/>
    <x v="3"/>
  </r>
  <r>
    <x v="1"/>
    <x v="7"/>
    <x v="1"/>
    <x v="6"/>
    <n v="71"/>
    <x v="6"/>
    <x v="1"/>
    <x v="3"/>
  </r>
  <r>
    <x v="1"/>
    <x v="7"/>
    <x v="1"/>
    <x v="7"/>
    <n v="125.26"/>
    <x v="7"/>
    <x v="0"/>
    <x v="3"/>
  </r>
  <r>
    <x v="1"/>
    <x v="7"/>
    <x v="0"/>
    <x v="0"/>
    <n v="20"/>
    <x v="0"/>
    <x v="0"/>
    <x v="2"/>
  </r>
  <r>
    <x v="1"/>
    <x v="7"/>
    <x v="1"/>
    <x v="7"/>
    <n v="23.47"/>
    <x v="8"/>
    <x v="1"/>
    <x v="3"/>
  </r>
  <r>
    <x v="1"/>
    <x v="7"/>
    <x v="1"/>
    <x v="1"/>
    <n v="730"/>
    <x v="15"/>
    <x v="0"/>
    <x v="3"/>
  </r>
  <r>
    <x v="0"/>
    <x v="5"/>
    <x v="1"/>
    <x v="7"/>
    <n v="28.27"/>
    <x v="19"/>
    <x v="0"/>
    <x v="0"/>
  </r>
  <r>
    <x v="0"/>
    <x v="6"/>
    <x v="1"/>
    <x v="7"/>
    <n v="52.01"/>
    <x v="19"/>
    <x v="0"/>
    <x v="0"/>
  </r>
  <r>
    <x v="0"/>
    <x v="6"/>
    <x v="2"/>
    <x v="10"/>
    <n v="8.23"/>
    <x v="13"/>
    <x v="0"/>
    <x v="0"/>
  </r>
  <r>
    <x v="0"/>
    <x v="7"/>
    <x v="2"/>
    <x v="10"/>
    <n v="8"/>
    <x v="13"/>
    <x v="0"/>
    <x v="0"/>
  </r>
  <r>
    <x v="0"/>
    <x v="7"/>
    <x v="1"/>
    <x v="7"/>
    <n v="132.58000000000001"/>
    <x v="19"/>
    <x v="0"/>
    <x v="0"/>
  </r>
  <r>
    <x v="1"/>
    <x v="8"/>
    <x v="1"/>
    <x v="7"/>
    <n v="53.12"/>
    <x v="19"/>
    <x v="0"/>
    <x v="3"/>
  </r>
  <r>
    <x v="1"/>
    <x v="10"/>
    <x v="1"/>
    <x v="7"/>
    <n v="27.48"/>
    <x v="7"/>
    <x v="0"/>
    <x v="3"/>
  </r>
  <r>
    <x v="1"/>
    <x v="11"/>
    <x v="1"/>
    <x v="7"/>
    <n v="17.989999999999998"/>
    <x v="7"/>
    <x v="0"/>
    <x v="3"/>
  </r>
  <r>
    <x v="1"/>
    <x v="0"/>
    <x v="1"/>
    <x v="7"/>
    <n v="20.5"/>
    <x v="7"/>
    <x v="0"/>
    <x v="3"/>
  </r>
  <r>
    <x v="1"/>
    <x v="1"/>
    <x v="1"/>
    <x v="11"/>
    <n v="76.5"/>
    <x v="17"/>
    <x v="1"/>
    <x v="3"/>
  </r>
  <r>
    <x v="1"/>
    <x v="2"/>
    <x v="1"/>
    <x v="7"/>
    <n v="34.39"/>
    <x v="7"/>
    <x v="0"/>
    <x v="3"/>
  </r>
  <r>
    <x v="1"/>
    <x v="3"/>
    <x v="1"/>
    <x v="7"/>
    <n v="55.12"/>
    <x v="7"/>
    <x v="0"/>
    <x v="3"/>
  </r>
  <r>
    <x v="1"/>
    <x v="4"/>
    <x v="1"/>
    <x v="7"/>
    <n v="26.26"/>
    <x v="7"/>
    <x v="0"/>
    <x v="3"/>
  </r>
  <r>
    <x v="1"/>
    <x v="5"/>
    <x v="1"/>
    <x v="7"/>
    <n v="27.2"/>
    <x v="7"/>
    <x v="0"/>
    <x v="3"/>
  </r>
  <r>
    <x v="1"/>
    <x v="6"/>
    <x v="1"/>
    <x v="7"/>
    <n v="7"/>
    <x v="7"/>
    <x v="0"/>
    <x v="3"/>
  </r>
  <r>
    <x v="1"/>
    <x v="7"/>
    <x v="1"/>
    <x v="7"/>
    <n v="57.65"/>
    <x v="19"/>
    <x v="0"/>
    <x v="3"/>
  </r>
  <r>
    <x v="2"/>
    <x v="8"/>
    <x v="0"/>
    <x v="3"/>
    <n v="500"/>
    <x v="27"/>
    <x v="1"/>
    <x v="1"/>
  </r>
  <r>
    <x v="2"/>
    <x v="8"/>
    <x v="0"/>
    <x v="0"/>
    <n v="31.5"/>
    <x v="29"/>
    <x v="1"/>
    <x v="2"/>
  </r>
  <r>
    <x v="2"/>
    <x v="8"/>
    <x v="0"/>
    <x v="4"/>
    <n v="48.58"/>
    <x v="4"/>
    <x v="1"/>
    <x v="2"/>
  </r>
  <r>
    <x v="2"/>
    <x v="8"/>
    <x v="0"/>
    <x v="4"/>
    <n v="36"/>
    <x v="11"/>
    <x v="1"/>
    <x v="4"/>
  </r>
  <r>
    <x v="2"/>
    <x v="8"/>
    <x v="0"/>
    <x v="0"/>
    <n v="18"/>
    <x v="30"/>
    <x v="1"/>
    <x v="4"/>
  </r>
  <r>
    <x v="2"/>
    <x v="8"/>
    <x v="1"/>
    <x v="7"/>
    <n v="31"/>
    <x v="8"/>
    <x v="1"/>
    <x v="3"/>
  </r>
  <r>
    <x v="2"/>
    <x v="8"/>
    <x v="0"/>
    <x v="9"/>
    <n v="42.49"/>
    <x v="10"/>
    <x v="1"/>
    <x v="2"/>
  </r>
  <r>
    <x v="2"/>
    <x v="8"/>
    <x v="0"/>
    <x v="5"/>
    <n v="170.47"/>
    <x v="5"/>
    <x v="1"/>
    <x v="2"/>
  </r>
  <r>
    <x v="2"/>
    <x v="8"/>
    <x v="1"/>
    <x v="6"/>
    <n v="106.85"/>
    <x v="6"/>
    <x v="1"/>
    <x v="3"/>
  </r>
  <r>
    <x v="2"/>
    <x v="8"/>
    <x v="1"/>
    <x v="7"/>
    <n v="38"/>
    <x v="7"/>
    <x v="0"/>
    <x v="3"/>
  </r>
  <r>
    <x v="2"/>
    <x v="8"/>
    <x v="1"/>
    <x v="11"/>
    <n v="70.5"/>
    <x v="17"/>
    <x v="1"/>
    <x v="3"/>
  </r>
  <r>
    <x v="2"/>
    <x v="8"/>
    <x v="1"/>
    <x v="7"/>
    <n v="43.2"/>
    <x v="19"/>
    <x v="0"/>
    <x v="3"/>
  </r>
  <r>
    <x v="2"/>
    <x v="8"/>
    <x v="2"/>
    <x v="10"/>
    <n v="22.55"/>
    <x v="13"/>
    <x v="0"/>
    <x v="3"/>
  </r>
  <r>
    <x v="2"/>
    <x v="8"/>
    <x v="0"/>
    <x v="0"/>
    <n v="11.36"/>
    <x v="31"/>
    <x v="0"/>
    <x v="2"/>
  </r>
  <r>
    <x v="2"/>
    <x v="9"/>
    <x v="0"/>
    <x v="3"/>
    <n v="500"/>
    <x v="27"/>
    <x v="1"/>
    <x v="1"/>
  </r>
  <r>
    <x v="2"/>
    <x v="9"/>
    <x v="0"/>
    <x v="0"/>
    <n v="50"/>
    <x v="14"/>
    <x v="1"/>
    <x v="1"/>
  </r>
  <r>
    <x v="2"/>
    <x v="9"/>
    <x v="0"/>
    <x v="4"/>
    <n v="50"/>
    <x v="11"/>
    <x v="1"/>
    <x v="4"/>
  </r>
  <r>
    <x v="2"/>
    <x v="9"/>
    <x v="0"/>
    <x v="4"/>
    <n v="150"/>
    <x v="11"/>
    <x v="1"/>
    <x v="4"/>
  </r>
  <r>
    <x v="2"/>
    <x v="9"/>
    <x v="0"/>
    <x v="4"/>
    <n v="25.64"/>
    <x v="4"/>
    <x v="1"/>
    <x v="2"/>
  </r>
  <r>
    <x v="2"/>
    <x v="9"/>
    <x v="0"/>
    <x v="0"/>
    <n v="11.2"/>
    <x v="30"/>
    <x v="1"/>
    <x v="4"/>
  </r>
  <r>
    <x v="2"/>
    <x v="9"/>
    <x v="0"/>
    <x v="9"/>
    <n v="9.16"/>
    <x v="10"/>
    <x v="1"/>
    <x v="2"/>
  </r>
  <r>
    <x v="2"/>
    <x v="9"/>
    <x v="0"/>
    <x v="5"/>
    <n v="186.98"/>
    <x v="5"/>
    <x v="1"/>
    <x v="2"/>
  </r>
  <r>
    <x v="2"/>
    <x v="9"/>
    <x v="1"/>
    <x v="6"/>
    <n v="21"/>
    <x v="6"/>
    <x v="1"/>
    <x v="3"/>
  </r>
  <r>
    <x v="2"/>
    <x v="9"/>
    <x v="1"/>
    <x v="11"/>
    <n v="274.2"/>
    <x v="17"/>
    <x v="1"/>
    <x v="3"/>
  </r>
  <r>
    <x v="2"/>
    <x v="9"/>
    <x v="1"/>
    <x v="7"/>
    <n v="23.44"/>
    <x v="7"/>
    <x v="0"/>
    <x v="3"/>
  </r>
  <r>
    <x v="2"/>
    <x v="9"/>
    <x v="1"/>
    <x v="7"/>
    <n v="81.53"/>
    <x v="7"/>
    <x v="0"/>
    <x v="3"/>
  </r>
  <r>
    <x v="2"/>
    <x v="10"/>
    <x v="0"/>
    <x v="3"/>
    <n v="500"/>
    <x v="27"/>
    <x v="1"/>
    <x v="1"/>
  </r>
  <r>
    <x v="2"/>
    <x v="10"/>
    <x v="0"/>
    <x v="0"/>
    <n v="6.5"/>
    <x v="29"/>
    <x v="1"/>
    <x v="2"/>
  </r>
  <r>
    <x v="2"/>
    <x v="10"/>
    <x v="0"/>
    <x v="0"/>
    <n v="8"/>
    <x v="30"/>
    <x v="1"/>
    <x v="4"/>
  </r>
  <r>
    <x v="2"/>
    <x v="10"/>
    <x v="0"/>
    <x v="0"/>
    <n v="28"/>
    <x v="29"/>
    <x v="1"/>
    <x v="2"/>
  </r>
  <r>
    <x v="2"/>
    <x v="10"/>
    <x v="0"/>
    <x v="4"/>
    <n v="170"/>
    <x v="11"/>
    <x v="1"/>
    <x v="4"/>
  </r>
  <r>
    <x v="2"/>
    <x v="10"/>
    <x v="0"/>
    <x v="4"/>
    <n v="79"/>
    <x v="20"/>
    <x v="1"/>
    <x v="2"/>
  </r>
  <r>
    <x v="2"/>
    <x v="10"/>
    <x v="0"/>
    <x v="5"/>
    <n v="173.1"/>
    <x v="5"/>
    <x v="1"/>
    <x v="2"/>
  </r>
  <r>
    <x v="2"/>
    <x v="10"/>
    <x v="1"/>
    <x v="6"/>
    <n v="141.1"/>
    <x v="6"/>
    <x v="1"/>
    <x v="3"/>
  </r>
  <r>
    <x v="2"/>
    <x v="10"/>
    <x v="1"/>
    <x v="7"/>
    <n v="84.3"/>
    <x v="7"/>
    <x v="0"/>
    <x v="3"/>
  </r>
  <r>
    <x v="2"/>
    <x v="10"/>
    <x v="1"/>
    <x v="7"/>
    <n v="42.99"/>
    <x v="7"/>
    <x v="0"/>
    <x v="3"/>
  </r>
  <r>
    <x v="2"/>
    <x v="10"/>
    <x v="1"/>
    <x v="1"/>
    <n v="557.49"/>
    <x v="15"/>
    <x v="0"/>
    <x v="3"/>
  </r>
  <r>
    <x v="2"/>
    <x v="11"/>
    <x v="0"/>
    <x v="3"/>
    <n v="500"/>
    <x v="27"/>
    <x v="1"/>
    <x v="1"/>
  </r>
  <r>
    <x v="2"/>
    <x v="11"/>
    <x v="0"/>
    <x v="0"/>
    <n v="20"/>
    <x v="14"/>
    <x v="1"/>
    <x v="1"/>
  </r>
  <r>
    <x v="2"/>
    <x v="11"/>
    <x v="0"/>
    <x v="4"/>
    <n v="20"/>
    <x v="4"/>
    <x v="1"/>
    <x v="2"/>
  </r>
  <r>
    <x v="2"/>
    <x v="11"/>
    <x v="0"/>
    <x v="0"/>
    <n v="8"/>
    <x v="30"/>
    <x v="1"/>
    <x v="4"/>
  </r>
  <r>
    <x v="2"/>
    <x v="11"/>
    <x v="1"/>
    <x v="7"/>
    <n v="19"/>
    <x v="8"/>
    <x v="1"/>
    <x v="3"/>
  </r>
  <r>
    <x v="2"/>
    <x v="11"/>
    <x v="0"/>
    <x v="9"/>
    <n v="43"/>
    <x v="10"/>
    <x v="1"/>
    <x v="2"/>
  </r>
  <r>
    <x v="2"/>
    <x v="11"/>
    <x v="0"/>
    <x v="5"/>
    <n v="135.91999999999999"/>
    <x v="5"/>
    <x v="1"/>
    <x v="2"/>
  </r>
  <r>
    <x v="2"/>
    <x v="11"/>
    <x v="1"/>
    <x v="6"/>
    <n v="143.19999999999999"/>
    <x v="6"/>
    <x v="1"/>
    <x v="3"/>
  </r>
  <r>
    <x v="2"/>
    <x v="11"/>
    <x v="1"/>
    <x v="7"/>
    <n v="165.14"/>
    <x v="7"/>
    <x v="0"/>
    <x v="3"/>
  </r>
  <r>
    <x v="2"/>
    <x v="11"/>
    <x v="1"/>
    <x v="11"/>
    <n v="85.6"/>
    <x v="17"/>
    <x v="1"/>
    <x v="3"/>
  </r>
  <r>
    <x v="2"/>
    <x v="11"/>
    <x v="1"/>
    <x v="7"/>
    <n v="21"/>
    <x v="19"/>
    <x v="0"/>
    <x v="3"/>
  </r>
  <r>
    <x v="2"/>
    <x v="0"/>
    <x v="0"/>
    <x v="3"/>
    <n v="500"/>
    <x v="27"/>
    <x v="1"/>
    <x v="1"/>
  </r>
  <r>
    <x v="2"/>
    <x v="0"/>
    <x v="0"/>
    <x v="0"/>
    <n v="25"/>
    <x v="14"/>
    <x v="1"/>
    <x v="1"/>
  </r>
  <r>
    <x v="2"/>
    <x v="0"/>
    <x v="0"/>
    <x v="0"/>
    <n v="32"/>
    <x v="29"/>
    <x v="1"/>
    <x v="2"/>
  </r>
  <r>
    <x v="2"/>
    <x v="0"/>
    <x v="0"/>
    <x v="4"/>
    <n v="10"/>
    <x v="4"/>
    <x v="1"/>
    <x v="2"/>
  </r>
  <r>
    <x v="2"/>
    <x v="0"/>
    <x v="0"/>
    <x v="0"/>
    <n v="25"/>
    <x v="14"/>
    <x v="1"/>
    <x v="1"/>
  </r>
  <r>
    <x v="2"/>
    <x v="0"/>
    <x v="0"/>
    <x v="4"/>
    <n v="25.12"/>
    <x v="4"/>
    <x v="1"/>
    <x v="2"/>
  </r>
  <r>
    <x v="2"/>
    <x v="0"/>
    <x v="0"/>
    <x v="5"/>
    <n v="220.75"/>
    <x v="5"/>
    <x v="1"/>
    <x v="2"/>
  </r>
  <r>
    <x v="2"/>
    <x v="0"/>
    <x v="1"/>
    <x v="6"/>
    <n v="117.73"/>
    <x v="6"/>
    <x v="1"/>
    <x v="3"/>
  </r>
  <r>
    <x v="2"/>
    <x v="0"/>
    <x v="1"/>
    <x v="7"/>
    <n v="46"/>
    <x v="7"/>
    <x v="0"/>
    <x v="3"/>
  </r>
  <r>
    <x v="2"/>
    <x v="0"/>
    <x v="1"/>
    <x v="7"/>
    <n v="17.8"/>
    <x v="7"/>
    <x v="0"/>
    <x v="3"/>
  </r>
  <r>
    <x v="2"/>
    <x v="1"/>
    <x v="0"/>
    <x v="3"/>
    <n v="500"/>
    <x v="27"/>
    <x v="1"/>
    <x v="1"/>
  </r>
  <r>
    <x v="2"/>
    <x v="1"/>
    <x v="0"/>
    <x v="0"/>
    <n v="50"/>
    <x v="14"/>
    <x v="1"/>
    <x v="1"/>
  </r>
  <r>
    <x v="2"/>
    <x v="1"/>
    <x v="0"/>
    <x v="0"/>
    <n v="35"/>
    <x v="29"/>
    <x v="1"/>
    <x v="2"/>
  </r>
  <r>
    <x v="2"/>
    <x v="1"/>
    <x v="0"/>
    <x v="9"/>
    <n v="45"/>
    <x v="10"/>
    <x v="1"/>
    <x v="2"/>
  </r>
  <r>
    <x v="2"/>
    <x v="1"/>
    <x v="0"/>
    <x v="5"/>
    <n v="179.13"/>
    <x v="5"/>
    <x v="1"/>
    <x v="2"/>
  </r>
  <r>
    <x v="2"/>
    <x v="1"/>
    <x v="1"/>
    <x v="6"/>
    <n v="25"/>
    <x v="6"/>
    <x v="1"/>
    <x v="3"/>
  </r>
  <r>
    <x v="2"/>
    <x v="1"/>
    <x v="1"/>
    <x v="7"/>
    <n v="72.680000000000007"/>
    <x v="7"/>
    <x v="0"/>
    <x v="3"/>
  </r>
  <r>
    <x v="2"/>
    <x v="1"/>
    <x v="1"/>
    <x v="7"/>
    <n v="10.9"/>
    <x v="7"/>
    <x v="0"/>
    <x v="3"/>
  </r>
  <r>
    <x v="2"/>
    <x v="2"/>
    <x v="0"/>
    <x v="3"/>
    <n v="500"/>
    <x v="27"/>
    <x v="1"/>
    <x v="1"/>
  </r>
  <r>
    <x v="2"/>
    <x v="2"/>
    <x v="0"/>
    <x v="0"/>
    <n v="50"/>
    <x v="14"/>
    <x v="1"/>
    <x v="1"/>
  </r>
  <r>
    <x v="2"/>
    <x v="2"/>
    <x v="0"/>
    <x v="0"/>
    <n v="32"/>
    <x v="29"/>
    <x v="1"/>
    <x v="2"/>
  </r>
  <r>
    <x v="2"/>
    <x v="2"/>
    <x v="0"/>
    <x v="4"/>
    <n v="25.61"/>
    <x v="4"/>
    <x v="1"/>
    <x v="2"/>
  </r>
  <r>
    <x v="2"/>
    <x v="2"/>
    <x v="0"/>
    <x v="4"/>
    <n v="26.56"/>
    <x v="4"/>
    <x v="1"/>
    <x v="2"/>
  </r>
  <r>
    <x v="2"/>
    <x v="2"/>
    <x v="0"/>
    <x v="0"/>
    <n v="50"/>
    <x v="14"/>
    <x v="1"/>
    <x v="1"/>
  </r>
  <r>
    <x v="2"/>
    <x v="2"/>
    <x v="0"/>
    <x v="5"/>
    <n v="182.65"/>
    <x v="5"/>
    <x v="1"/>
    <x v="2"/>
  </r>
  <r>
    <x v="2"/>
    <x v="2"/>
    <x v="1"/>
    <x v="6"/>
    <n v="37.200000000000003"/>
    <x v="6"/>
    <x v="1"/>
    <x v="3"/>
  </r>
  <r>
    <x v="2"/>
    <x v="2"/>
    <x v="1"/>
    <x v="7"/>
    <n v="105.8"/>
    <x v="7"/>
    <x v="0"/>
    <x v="3"/>
  </r>
  <r>
    <x v="2"/>
    <x v="2"/>
    <x v="1"/>
    <x v="7"/>
    <n v="33.99"/>
    <x v="19"/>
    <x v="0"/>
    <x v="3"/>
  </r>
  <r>
    <x v="2"/>
    <x v="2"/>
    <x v="0"/>
    <x v="4"/>
    <n v="8.1"/>
    <x v="32"/>
    <x v="0"/>
    <x v="4"/>
  </r>
  <r>
    <x v="2"/>
    <x v="2"/>
    <x v="0"/>
    <x v="4"/>
    <n v="20"/>
    <x v="32"/>
    <x v="0"/>
    <x v="4"/>
  </r>
  <r>
    <x v="2"/>
    <x v="3"/>
    <x v="0"/>
    <x v="3"/>
    <n v="500"/>
    <x v="27"/>
    <x v="1"/>
    <x v="1"/>
  </r>
  <r>
    <x v="2"/>
    <x v="3"/>
    <x v="0"/>
    <x v="0"/>
    <n v="50"/>
    <x v="14"/>
    <x v="1"/>
    <x v="1"/>
  </r>
  <r>
    <x v="2"/>
    <x v="3"/>
    <x v="0"/>
    <x v="0"/>
    <n v="32.5"/>
    <x v="29"/>
    <x v="1"/>
    <x v="2"/>
  </r>
  <r>
    <x v="2"/>
    <x v="3"/>
    <x v="0"/>
    <x v="4"/>
    <n v="25"/>
    <x v="4"/>
    <x v="1"/>
    <x v="2"/>
  </r>
  <r>
    <x v="2"/>
    <x v="3"/>
    <x v="0"/>
    <x v="9"/>
    <n v="40"/>
    <x v="10"/>
    <x v="1"/>
    <x v="2"/>
  </r>
  <r>
    <x v="2"/>
    <x v="3"/>
    <x v="0"/>
    <x v="5"/>
    <n v="206.73"/>
    <x v="5"/>
    <x v="1"/>
    <x v="2"/>
  </r>
  <r>
    <x v="2"/>
    <x v="3"/>
    <x v="1"/>
    <x v="7"/>
    <n v="46.11"/>
    <x v="8"/>
    <x v="1"/>
    <x v="3"/>
  </r>
  <r>
    <x v="2"/>
    <x v="3"/>
    <x v="1"/>
    <x v="6"/>
    <n v="89.6"/>
    <x v="6"/>
    <x v="1"/>
    <x v="3"/>
  </r>
  <r>
    <x v="2"/>
    <x v="3"/>
    <x v="1"/>
    <x v="7"/>
    <n v="96.89"/>
    <x v="7"/>
    <x v="0"/>
    <x v="3"/>
  </r>
  <r>
    <x v="2"/>
    <x v="3"/>
    <x v="1"/>
    <x v="11"/>
    <n v="50"/>
    <x v="17"/>
    <x v="1"/>
    <x v="3"/>
  </r>
  <r>
    <x v="2"/>
    <x v="3"/>
    <x v="1"/>
    <x v="7"/>
    <n v="10.99"/>
    <x v="19"/>
    <x v="0"/>
    <x v="3"/>
  </r>
  <r>
    <x v="2"/>
    <x v="3"/>
    <x v="0"/>
    <x v="4"/>
    <n v="5.4"/>
    <x v="33"/>
    <x v="0"/>
    <x v="2"/>
  </r>
  <r>
    <x v="2"/>
    <x v="4"/>
    <x v="0"/>
    <x v="3"/>
    <n v="500"/>
    <x v="27"/>
    <x v="1"/>
    <x v="1"/>
  </r>
  <r>
    <x v="2"/>
    <x v="4"/>
    <x v="0"/>
    <x v="0"/>
    <n v="50"/>
    <x v="14"/>
    <x v="1"/>
    <x v="1"/>
  </r>
  <r>
    <x v="2"/>
    <x v="4"/>
    <x v="0"/>
    <x v="0"/>
    <n v="31"/>
    <x v="29"/>
    <x v="1"/>
    <x v="2"/>
  </r>
  <r>
    <x v="2"/>
    <x v="4"/>
    <x v="0"/>
    <x v="5"/>
    <n v="103.45"/>
    <x v="5"/>
    <x v="1"/>
    <x v="2"/>
  </r>
  <r>
    <x v="2"/>
    <x v="4"/>
    <x v="1"/>
    <x v="7"/>
    <n v="11.5"/>
    <x v="8"/>
    <x v="1"/>
    <x v="3"/>
  </r>
  <r>
    <x v="2"/>
    <x v="4"/>
    <x v="1"/>
    <x v="6"/>
    <n v="110.24"/>
    <x v="6"/>
    <x v="1"/>
    <x v="3"/>
  </r>
  <r>
    <x v="2"/>
    <x v="4"/>
    <x v="1"/>
    <x v="7"/>
    <n v="169.69"/>
    <x v="7"/>
    <x v="0"/>
    <x v="3"/>
  </r>
  <r>
    <x v="2"/>
    <x v="4"/>
    <x v="0"/>
    <x v="4"/>
    <n v="21.3"/>
    <x v="32"/>
    <x v="0"/>
    <x v="4"/>
  </r>
  <r>
    <x v="2"/>
    <x v="4"/>
    <x v="1"/>
    <x v="7"/>
    <n v="26.08"/>
    <x v="7"/>
    <x v="0"/>
    <x v="3"/>
  </r>
  <r>
    <x v="2"/>
    <x v="4"/>
    <x v="0"/>
    <x v="4"/>
    <n v="20.5"/>
    <x v="33"/>
    <x v="0"/>
    <x v="2"/>
  </r>
  <r>
    <x v="2"/>
    <x v="5"/>
    <x v="0"/>
    <x v="3"/>
    <n v="500"/>
    <x v="27"/>
    <x v="1"/>
    <x v="1"/>
  </r>
  <r>
    <x v="2"/>
    <x v="5"/>
    <x v="0"/>
    <x v="0"/>
    <n v="50"/>
    <x v="14"/>
    <x v="1"/>
    <x v="1"/>
  </r>
  <r>
    <x v="2"/>
    <x v="5"/>
    <x v="0"/>
    <x v="0"/>
    <n v="34"/>
    <x v="29"/>
    <x v="1"/>
    <x v="2"/>
  </r>
  <r>
    <x v="2"/>
    <x v="5"/>
    <x v="0"/>
    <x v="4"/>
    <n v="20"/>
    <x v="4"/>
    <x v="1"/>
    <x v="2"/>
  </r>
  <r>
    <x v="2"/>
    <x v="5"/>
    <x v="0"/>
    <x v="5"/>
    <n v="217.79"/>
    <x v="5"/>
    <x v="1"/>
    <x v="2"/>
  </r>
  <r>
    <x v="2"/>
    <x v="5"/>
    <x v="1"/>
    <x v="6"/>
    <n v="16"/>
    <x v="6"/>
    <x v="1"/>
    <x v="3"/>
  </r>
  <r>
    <x v="2"/>
    <x v="5"/>
    <x v="1"/>
    <x v="7"/>
    <n v="32"/>
    <x v="24"/>
    <x v="0"/>
    <x v="3"/>
  </r>
  <r>
    <x v="2"/>
    <x v="5"/>
    <x v="0"/>
    <x v="4"/>
    <n v="25.7"/>
    <x v="32"/>
    <x v="0"/>
    <x v="4"/>
  </r>
  <r>
    <x v="2"/>
    <x v="5"/>
    <x v="0"/>
    <x v="4"/>
    <n v="40"/>
    <x v="32"/>
    <x v="0"/>
    <x v="4"/>
  </r>
  <r>
    <x v="2"/>
    <x v="5"/>
    <x v="1"/>
    <x v="11"/>
    <n v="340.5"/>
    <x v="17"/>
    <x v="1"/>
    <x v="3"/>
  </r>
  <r>
    <x v="2"/>
    <x v="5"/>
    <x v="2"/>
    <x v="10"/>
    <n v="15"/>
    <x v="13"/>
    <x v="0"/>
    <x v="3"/>
  </r>
  <r>
    <x v="2"/>
    <x v="5"/>
    <x v="1"/>
    <x v="1"/>
    <n v="13"/>
    <x v="15"/>
    <x v="0"/>
    <x v="3"/>
  </r>
  <r>
    <x v="2"/>
    <x v="6"/>
    <x v="0"/>
    <x v="3"/>
    <n v="500"/>
    <x v="27"/>
    <x v="1"/>
    <x v="1"/>
  </r>
  <r>
    <x v="2"/>
    <x v="6"/>
    <x v="0"/>
    <x v="0"/>
    <n v="34"/>
    <x v="29"/>
    <x v="1"/>
    <x v="2"/>
  </r>
  <r>
    <x v="2"/>
    <x v="6"/>
    <x v="0"/>
    <x v="4"/>
    <n v="20"/>
    <x v="4"/>
    <x v="1"/>
    <x v="2"/>
  </r>
  <r>
    <x v="2"/>
    <x v="6"/>
    <x v="1"/>
    <x v="7"/>
    <n v="306.07"/>
    <x v="8"/>
    <x v="1"/>
    <x v="3"/>
  </r>
  <r>
    <x v="2"/>
    <x v="6"/>
    <x v="0"/>
    <x v="9"/>
    <n v="42.5"/>
    <x v="10"/>
    <x v="1"/>
    <x v="2"/>
  </r>
  <r>
    <x v="2"/>
    <x v="6"/>
    <x v="0"/>
    <x v="5"/>
    <n v="146.87"/>
    <x v="5"/>
    <x v="1"/>
    <x v="2"/>
  </r>
  <r>
    <x v="2"/>
    <x v="6"/>
    <x v="1"/>
    <x v="6"/>
    <n v="144.1"/>
    <x v="6"/>
    <x v="1"/>
    <x v="3"/>
  </r>
  <r>
    <x v="2"/>
    <x v="6"/>
    <x v="1"/>
    <x v="7"/>
    <n v="49.99"/>
    <x v="7"/>
    <x v="0"/>
    <x v="3"/>
  </r>
  <r>
    <x v="2"/>
    <x v="6"/>
    <x v="0"/>
    <x v="8"/>
    <n v="50"/>
    <x v="9"/>
    <x v="1"/>
    <x v="4"/>
  </r>
  <r>
    <x v="2"/>
    <x v="6"/>
    <x v="1"/>
    <x v="11"/>
    <n v="180"/>
    <x v="17"/>
    <x v="1"/>
    <x v="3"/>
  </r>
  <r>
    <x v="2"/>
    <x v="6"/>
    <x v="0"/>
    <x v="4"/>
    <n v="29"/>
    <x v="32"/>
    <x v="0"/>
    <x v="4"/>
  </r>
  <r>
    <x v="2"/>
    <x v="6"/>
    <x v="2"/>
    <x v="10"/>
    <n v="6"/>
    <x v="13"/>
    <x v="0"/>
    <x v="3"/>
  </r>
  <r>
    <x v="2"/>
    <x v="6"/>
    <x v="1"/>
    <x v="1"/>
    <n v="9"/>
    <x v="15"/>
    <x v="0"/>
    <x v="3"/>
  </r>
  <r>
    <x v="2"/>
    <x v="7"/>
    <x v="0"/>
    <x v="3"/>
    <n v="500"/>
    <x v="27"/>
    <x v="1"/>
    <x v="1"/>
  </r>
  <r>
    <x v="2"/>
    <x v="7"/>
    <x v="0"/>
    <x v="0"/>
    <n v="50"/>
    <x v="14"/>
    <x v="1"/>
    <x v="1"/>
  </r>
  <r>
    <x v="2"/>
    <x v="7"/>
    <x v="0"/>
    <x v="0"/>
    <n v="35"/>
    <x v="29"/>
    <x v="1"/>
    <x v="2"/>
  </r>
  <r>
    <x v="2"/>
    <x v="7"/>
    <x v="0"/>
    <x v="0"/>
    <n v="57.5"/>
    <x v="29"/>
    <x v="1"/>
    <x v="2"/>
  </r>
  <r>
    <x v="2"/>
    <x v="7"/>
    <x v="0"/>
    <x v="4"/>
    <n v="25"/>
    <x v="4"/>
    <x v="1"/>
    <x v="2"/>
  </r>
  <r>
    <x v="2"/>
    <x v="7"/>
    <x v="0"/>
    <x v="4"/>
    <n v="17.5"/>
    <x v="34"/>
    <x v="1"/>
    <x v="2"/>
  </r>
  <r>
    <x v="2"/>
    <x v="7"/>
    <x v="0"/>
    <x v="0"/>
    <n v="16.2"/>
    <x v="14"/>
    <x v="1"/>
    <x v="1"/>
  </r>
  <r>
    <x v="2"/>
    <x v="7"/>
    <x v="1"/>
    <x v="7"/>
    <n v="189.98"/>
    <x v="8"/>
    <x v="1"/>
    <x v="3"/>
  </r>
  <r>
    <x v="2"/>
    <x v="7"/>
    <x v="0"/>
    <x v="9"/>
    <n v="42.5"/>
    <x v="10"/>
    <x v="1"/>
    <x v="2"/>
  </r>
  <r>
    <x v="2"/>
    <x v="7"/>
    <x v="0"/>
    <x v="5"/>
    <n v="244.62"/>
    <x v="5"/>
    <x v="1"/>
    <x v="2"/>
  </r>
  <r>
    <x v="2"/>
    <x v="7"/>
    <x v="1"/>
    <x v="6"/>
    <n v="139"/>
    <x v="6"/>
    <x v="1"/>
    <x v="3"/>
  </r>
  <r>
    <x v="2"/>
    <x v="7"/>
    <x v="1"/>
    <x v="7"/>
    <n v="233.15"/>
    <x v="7"/>
    <x v="0"/>
    <x v="3"/>
  </r>
  <r>
    <x v="2"/>
    <x v="7"/>
    <x v="0"/>
    <x v="4"/>
    <n v="26.2"/>
    <x v="32"/>
    <x v="0"/>
    <x v="4"/>
  </r>
  <r>
    <x v="2"/>
    <x v="7"/>
    <x v="1"/>
    <x v="1"/>
    <n v="293.47000000000003"/>
    <x v="15"/>
    <x v="0"/>
    <x v="3"/>
  </r>
  <r>
    <x v="3"/>
    <x v="8"/>
    <x v="0"/>
    <x v="3"/>
    <n v="500"/>
    <x v="27"/>
    <x v="1"/>
    <x v="1"/>
  </r>
  <r>
    <x v="3"/>
    <x v="8"/>
    <x v="0"/>
    <x v="0"/>
    <n v="50"/>
    <x v="14"/>
    <x v="1"/>
    <x v="1"/>
  </r>
  <r>
    <x v="3"/>
    <x v="8"/>
    <x v="1"/>
    <x v="7"/>
    <n v="41.13"/>
    <x v="8"/>
    <x v="1"/>
    <x v="3"/>
  </r>
  <r>
    <x v="3"/>
    <x v="8"/>
    <x v="0"/>
    <x v="5"/>
    <n v="167.63"/>
    <x v="5"/>
    <x v="1"/>
    <x v="2"/>
  </r>
  <r>
    <x v="3"/>
    <x v="8"/>
    <x v="1"/>
    <x v="6"/>
    <n v="238.97"/>
    <x v="6"/>
    <x v="1"/>
    <x v="3"/>
  </r>
  <r>
    <x v="3"/>
    <x v="8"/>
    <x v="1"/>
    <x v="7"/>
    <n v="210.64"/>
    <x v="7"/>
    <x v="0"/>
    <x v="3"/>
  </r>
  <r>
    <x v="3"/>
    <x v="8"/>
    <x v="1"/>
    <x v="11"/>
    <n v="448.35"/>
    <x v="17"/>
    <x v="1"/>
    <x v="3"/>
  </r>
  <r>
    <x v="3"/>
    <x v="8"/>
    <x v="2"/>
    <x v="10"/>
    <n v="6"/>
    <x v="13"/>
    <x v="0"/>
    <x v="3"/>
  </r>
  <r>
    <x v="3"/>
    <x v="8"/>
    <x v="1"/>
    <x v="1"/>
    <n v="48.61"/>
    <x v="15"/>
    <x v="0"/>
    <x v="3"/>
  </r>
  <r>
    <x v="3"/>
    <x v="9"/>
    <x v="0"/>
    <x v="3"/>
    <n v="500"/>
    <x v="27"/>
    <x v="1"/>
    <x v="1"/>
  </r>
  <r>
    <x v="3"/>
    <x v="9"/>
    <x v="0"/>
    <x v="0"/>
    <n v="50"/>
    <x v="14"/>
    <x v="1"/>
    <x v="1"/>
  </r>
  <r>
    <x v="3"/>
    <x v="9"/>
    <x v="0"/>
    <x v="0"/>
    <n v="63.5"/>
    <x v="29"/>
    <x v="1"/>
    <x v="2"/>
  </r>
  <r>
    <x v="3"/>
    <x v="9"/>
    <x v="0"/>
    <x v="9"/>
    <n v="43"/>
    <x v="10"/>
    <x v="1"/>
    <x v="2"/>
  </r>
  <r>
    <x v="3"/>
    <x v="9"/>
    <x v="0"/>
    <x v="5"/>
    <n v="88.87"/>
    <x v="5"/>
    <x v="1"/>
    <x v="2"/>
  </r>
  <r>
    <x v="3"/>
    <x v="9"/>
    <x v="1"/>
    <x v="7"/>
    <n v="60.9"/>
    <x v="8"/>
    <x v="1"/>
    <x v="3"/>
  </r>
  <r>
    <x v="3"/>
    <x v="9"/>
    <x v="1"/>
    <x v="6"/>
    <n v="54.5"/>
    <x v="6"/>
    <x v="1"/>
    <x v="3"/>
  </r>
  <r>
    <x v="3"/>
    <x v="9"/>
    <x v="1"/>
    <x v="7"/>
    <n v="324.92"/>
    <x v="7"/>
    <x v="0"/>
    <x v="3"/>
  </r>
  <r>
    <x v="3"/>
    <x v="9"/>
    <x v="1"/>
    <x v="11"/>
    <n v="283"/>
    <x v="17"/>
    <x v="1"/>
    <x v="3"/>
  </r>
  <r>
    <x v="3"/>
    <x v="9"/>
    <x v="1"/>
    <x v="1"/>
    <n v="43.99"/>
    <x v="15"/>
    <x v="0"/>
    <x v="3"/>
  </r>
  <r>
    <x v="3"/>
    <x v="10"/>
    <x v="0"/>
    <x v="3"/>
    <n v="500"/>
    <x v="27"/>
    <x v="1"/>
    <x v="1"/>
  </r>
  <r>
    <x v="3"/>
    <x v="10"/>
    <x v="0"/>
    <x v="0"/>
    <n v="50"/>
    <x v="14"/>
    <x v="1"/>
    <x v="1"/>
  </r>
  <r>
    <x v="3"/>
    <x v="10"/>
    <x v="0"/>
    <x v="0"/>
    <n v="11.5"/>
    <x v="29"/>
    <x v="1"/>
    <x v="2"/>
  </r>
  <r>
    <x v="3"/>
    <x v="10"/>
    <x v="0"/>
    <x v="0"/>
    <n v="80"/>
    <x v="35"/>
    <x v="1"/>
    <x v="2"/>
  </r>
  <r>
    <x v="3"/>
    <x v="10"/>
    <x v="0"/>
    <x v="4"/>
    <n v="83"/>
    <x v="20"/>
    <x v="1"/>
    <x v="2"/>
  </r>
  <r>
    <x v="3"/>
    <x v="10"/>
    <x v="0"/>
    <x v="5"/>
    <n v="189.94"/>
    <x v="5"/>
    <x v="1"/>
    <x v="2"/>
  </r>
  <r>
    <x v="3"/>
    <x v="10"/>
    <x v="1"/>
    <x v="6"/>
    <n v="135"/>
    <x v="6"/>
    <x v="1"/>
    <x v="3"/>
  </r>
  <r>
    <x v="3"/>
    <x v="10"/>
    <x v="1"/>
    <x v="7"/>
    <n v="329.98"/>
    <x v="7"/>
    <x v="0"/>
    <x v="3"/>
  </r>
  <r>
    <x v="3"/>
    <x v="10"/>
    <x v="1"/>
    <x v="7"/>
    <n v="24"/>
    <x v="7"/>
    <x v="0"/>
    <x v="3"/>
  </r>
  <r>
    <x v="3"/>
    <x v="10"/>
    <x v="0"/>
    <x v="13"/>
    <n v="80"/>
    <x v="36"/>
    <x v="0"/>
    <x v="4"/>
  </r>
  <r>
    <x v="3"/>
    <x v="10"/>
    <x v="2"/>
    <x v="10"/>
    <n v="10"/>
    <x v="13"/>
    <x v="0"/>
    <x v="3"/>
  </r>
  <r>
    <x v="3"/>
    <x v="10"/>
    <x v="1"/>
    <x v="1"/>
    <n v="43.61"/>
    <x v="15"/>
    <x v="0"/>
    <x v="3"/>
  </r>
  <r>
    <x v="3"/>
    <x v="11"/>
    <x v="0"/>
    <x v="3"/>
    <n v="500"/>
    <x v="27"/>
    <x v="1"/>
    <x v="1"/>
  </r>
  <r>
    <x v="3"/>
    <x v="11"/>
    <x v="0"/>
    <x v="0"/>
    <n v="50"/>
    <x v="14"/>
    <x v="1"/>
    <x v="1"/>
  </r>
  <r>
    <x v="3"/>
    <x v="11"/>
    <x v="0"/>
    <x v="0"/>
    <n v="33"/>
    <x v="29"/>
    <x v="1"/>
    <x v="2"/>
  </r>
  <r>
    <x v="3"/>
    <x v="11"/>
    <x v="0"/>
    <x v="0"/>
    <n v="50"/>
    <x v="14"/>
    <x v="1"/>
    <x v="1"/>
  </r>
  <r>
    <x v="3"/>
    <x v="11"/>
    <x v="0"/>
    <x v="4"/>
    <n v="430"/>
    <x v="11"/>
    <x v="1"/>
    <x v="4"/>
  </r>
  <r>
    <x v="3"/>
    <x v="11"/>
    <x v="0"/>
    <x v="4"/>
    <n v="27"/>
    <x v="33"/>
    <x v="1"/>
    <x v="2"/>
  </r>
  <r>
    <x v="3"/>
    <x v="11"/>
    <x v="0"/>
    <x v="9"/>
    <n v="50"/>
    <x v="10"/>
    <x v="1"/>
    <x v="2"/>
  </r>
  <r>
    <x v="3"/>
    <x v="11"/>
    <x v="0"/>
    <x v="5"/>
    <n v="173.18"/>
    <x v="5"/>
    <x v="1"/>
    <x v="2"/>
  </r>
  <r>
    <x v="3"/>
    <x v="11"/>
    <x v="1"/>
    <x v="6"/>
    <n v="100.8"/>
    <x v="6"/>
    <x v="1"/>
    <x v="3"/>
  </r>
  <r>
    <x v="3"/>
    <x v="11"/>
    <x v="1"/>
    <x v="11"/>
    <n v="55.94"/>
    <x v="17"/>
    <x v="1"/>
    <x v="3"/>
  </r>
  <r>
    <x v="3"/>
    <x v="11"/>
    <x v="1"/>
    <x v="7"/>
    <n v="64.97"/>
    <x v="7"/>
    <x v="0"/>
    <x v="3"/>
  </r>
  <r>
    <x v="3"/>
    <x v="11"/>
    <x v="1"/>
    <x v="11"/>
    <n v="702.89"/>
    <x v="17"/>
    <x v="1"/>
    <x v="3"/>
  </r>
  <r>
    <x v="3"/>
    <x v="11"/>
    <x v="0"/>
    <x v="13"/>
    <n v="51.94"/>
    <x v="36"/>
    <x v="0"/>
    <x v="4"/>
  </r>
  <r>
    <x v="3"/>
    <x v="11"/>
    <x v="1"/>
    <x v="7"/>
    <n v="13.73"/>
    <x v="19"/>
    <x v="0"/>
    <x v="3"/>
  </r>
  <r>
    <x v="3"/>
    <x v="11"/>
    <x v="2"/>
    <x v="10"/>
    <n v="23"/>
    <x v="13"/>
    <x v="0"/>
    <x v="3"/>
  </r>
  <r>
    <x v="3"/>
    <x v="11"/>
    <x v="1"/>
    <x v="1"/>
    <n v="44"/>
    <x v="15"/>
    <x v="0"/>
    <x v="3"/>
  </r>
  <r>
    <x v="3"/>
    <x v="0"/>
    <x v="0"/>
    <x v="3"/>
    <n v="500"/>
    <x v="27"/>
    <x v="1"/>
    <x v="1"/>
  </r>
  <r>
    <x v="3"/>
    <x v="0"/>
    <x v="0"/>
    <x v="0"/>
    <n v="50"/>
    <x v="14"/>
    <x v="1"/>
    <x v="1"/>
  </r>
  <r>
    <x v="3"/>
    <x v="0"/>
    <x v="0"/>
    <x v="0"/>
    <n v="33"/>
    <x v="29"/>
    <x v="1"/>
    <x v="2"/>
  </r>
  <r>
    <x v="3"/>
    <x v="0"/>
    <x v="1"/>
    <x v="7"/>
    <n v="15"/>
    <x v="8"/>
    <x v="1"/>
    <x v="3"/>
  </r>
  <r>
    <x v="3"/>
    <x v="0"/>
    <x v="0"/>
    <x v="5"/>
    <n v="97.75"/>
    <x v="5"/>
    <x v="1"/>
    <x v="2"/>
  </r>
  <r>
    <x v="3"/>
    <x v="0"/>
    <x v="1"/>
    <x v="7"/>
    <n v="66.989999999999995"/>
    <x v="7"/>
    <x v="0"/>
    <x v="3"/>
  </r>
  <r>
    <x v="3"/>
    <x v="0"/>
    <x v="1"/>
    <x v="1"/>
    <n v="85"/>
    <x v="15"/>
    <x v="0"/>
    <x v="3"/>
  </r>
  <r>
    <x v="3"/>
    <x v="1"/>
    <x v="0"/>
    <x v="3"/>
    <n v="500"/>
    <x v="27"/>
    <x v="1"/>
    <x v="1"/>
  </r>
  <r>
    <x v="3"/>
    <x v="1"/>
    <x v="0"/>
    <x v="0"/>
    <n v="50"/>
    <x v="14"/>
    <x v="1"/>
    <x v="1"/>
  </r>
  <r>
    <x v="3"/>
    <x v="1"/>
    <x v="0"/>
    <x v="0"/>
    <n v="39"/>
    <x v="29"/>
    <x v="1"/>
    <x v="2"/>
  </r>
  <r>
    <x v="3"/>
    <x v="1"/>
    <x v="1"/>
    <x v="2"/>
    <n v="15"/>
    <x v="37"/>
    <x v="1"/>
    <x v="3"/>
  </r>
  <r>
    <x v="3"/>
    <x v="1"/>
    <x v="1"/>
    <x v="7"/>
    <n v="442.93"/>
    <x v="8"/>
    <x v="1"/>
    <x v="3"/>
  </r>
  <r>
    <x v="3"/>
    <x v="1"/>
    <x v="0"/>
    <x v="9"/>
    <n v="48"/>
    <x v="10"/>
    <x v="1"/>
    <x v="2"/>
  </r>
  <r>
    <x v="3"/>
    <x v="1"/>
    <x v="0"/>
    <x v="5"/>
    <n v="149.01"/>
    <x v="5"/>
    <x v="1"/>
    <x v="2"/>
  </r>
  <r>
    <x v="3"/>
    <x v="1"/>
    <x v="1"/>
    <x v="6"/>
    <n v="50"/>
    <x v="6"/>
    <x v="1"/>
    <x v="3"/>
  </r>
  <r>
    <x v="3"/>
    <x v="1"/>
    <x v="1"/>
    <x v="7"/>
    <n v="64.17"/>
    <x v="7"/>
    <x v="0"/>
    <x v="3"/>
  </r>
  <r>
    <x v="3"/>
    <x v="1"/>
    <x v="1"/>
    <x v="11"/>
    <n v="353.85"/>
    <x v="17"/>
    <x v="1"/>
    <x v="3"/>
  </r>
  <r>
    <x v="3"/>
    <x v="1"/>
    <x v="1"/>
    <x v="1"/>
    <n v="123.91"/>
    <x v="15"/>
    <x v="0"/>
    <x v="3"/>
  </r>
  <r>
    <x v="3"/>
    <x v="2"/>
    <x v="0"/>
    <x v="3"/>
    <n v="500"/>
    <x v="27"/>
    <x v="1"/>
    <x v="1"/>
  </r>
  <r>
    <x v="3"/>
    <x v="2"/>
    <x v="0"/>
    <x v="0"/>
    <n v="30"/>
    <x v="29"/>
    <x v="1"/>
    <x v="2"/>
  </r>
  <r>
    <x v="3"/>
    <x v="2"/>
    <x v="1"/>
    <x v="7"/>
    <n v="136.30000000000001"/>
    <x v="8"/>
    <x v="1"/>
    <x v="3"/>
  </r>
  <r>
    <x v="3"/>
    <x v="2"/>
    <x v="0"/>
    <x v="5"/>
    <n v="344.8"/>
    <x v="5"/>
    <x v="1"/>
    <x v="2"/>
  </r>
  <r>
    <x v="3"/>
    <x v="2"/>
    <x v="1"/>
    <x v="6"/>
    <n v="50"/>
    <x v="6"/>
    <x v="1"/>
    <x v="3"/>
  </r>
  <r>
    <x v="3"/>
    <x v="2"/>
    <x v="1"/>
    <x v="7"/>
    <n v="102.47"/>
    <x v="7"/>
    <x v="0"/>
    <x v="3"/>
  </r>
  <r>
    <x v="3"/>
    <x v="2"/>
    <x v="2"/>
    <x v="10"/>
    <n v="16"/>
    <x v="13"/>
    <x v="0"/>
    <x v="3"/>
  </r>
  <r>
    <x v="3"/>
    <x v="2"/>
    <x v="1"/>
    <x v="1"/>
    <n v="77.180000000000007"/>
    <x v="15"/>
    <x v="0"/>
    <x v="3"/>
  </r>
  <r>
    <x v="3"/>
    <x v="3"/>
    <x v="0"/>
    <x v="3"/>
    <n v="500"/>
    <x v="27"/>
    <x v="1"/>
    <x v="1"/>
  </r>
  <r>
    <x v="3"/>
    <x v="3"/>
    <x v="0"/>
    <x v="0"/>
    <n v="50"/>
    <x v="14"/>
    <x v="1"/>
    <x v="1"/>
  </r>
  <r>
    <x v="3"/>
    <x v="3"/>
    <x v="0"/>
    <x v="0"/>
    <n v="35"/>
    <x v="29"/>
    <x v="1"/>
    <x v="2"/>
  </r>
  <r>
    <x v="3"/>
    <x v="3"/>
    <x v="1"/>
    <x v="7"/>
    <n v="103.46"/>
    <x v="8"/>
    <x v="1"/>
    <x v="3"/>
  </r>
  <r>
    <x v="3"/>
    <x v="3"/>
    <x v="0"/>
    <x v="5"/>
    <n v="353.1"/>
    <x v="5"/>
    <x v="1"/>
    <x v="2"/>
  </r>
  <r>
    <x v="3"/>
    <x v="3"/>
    <x v="1"/>
    <x v="6"/>
    <n v="82.4"/>
    <x v="6"/>
    <x v="1"/>
    <x v="3"/>
  </r>
  <r>
    <x v="3"/>
    <x v="3"/>
    <x v="1"/>
    <x v="7"/>
    <n v="101.73"/>
    <x v="7"/>
    <x v="0"/>
    <x v="3"/>
  </r>
  <r>
    <x v="3"/>
    <x v="3"/>
    <x v="2"/>
    <x v="10"/>
    <n v="18"/>
    <x v="13"/>
    <x v="0"/>
    <x v="3"/>
  </r>
  <r>
    <x v="3"/>
    <x v="3"/>
    <x v="1"/>
    <x v="7"/>
    <n v="15.23"/>
    <x v="7"/>
    <x v="0"/>
    <x v="3"/>
  </r>
  <r>
    <x v="3"/>
    <x v="3"/>
    <x v="1"/>
    <x v="1"/>
    <n v="82.55"/>
    <x v="15"/>
    <x v="0"/>
    <x v="3"/>
  </r>
  <r>
    <x v="3"/>
    <x v="4"/>
    <x v="0"/>
    <x v="3"/>
    <n v="500"/>
    <x v="27"/>
    <x v="1"/>
    <x v="1"/>
  </r>
  <r>
    <x v="3"/>
    <x v="4"/>
    <x v="0"/>
    <x v="0"/>
    <n v="50"/>
    <x v="14"/>
    <x v="1"/>
    <x v="1"/>
  </r>
  <r>
    <x v="3"/>
    <x v="4"/>
    <x v="0"/>
    <x v="0"/>
    <n v="35"/>
    <x v="29"/>
    <x v="1"/>
    <x v="2"/>
  </r>
  <r>
    <x v="3"/>
    <x v="4"/>
    <x v="1"/>
    <x v="2"/>
    <n v="25"/>
    <x v="37"/>
    <x v="1"/>
    <x v="3"/>
  </r>
  <r>
    <x v="3"/>
    <x v="4"/>
    <x v="1"/>
    <x v="7"/>
    <n v="15"/>
    <x v="8"/>
    <x v="1"/>
    <x v="3"/>
  </r>
  <r>
    <x v="3"/>
    <x v="4"/>
    <x v="0"/>
    <x v="5"/>
    <n v="81.849999999999994"/>
    <x v="5"/>
    <x v="1"/>
    <x v="2"/>
  </r>
  <r>
    <x v="3"/>
    <x v="4"/>
    <x v="1"/>
    <x v="6"/>
    <n v="153"/>
    <x v="6"/>
    <x v="1"/>
    <x v="3"/>
  </r>
  <r>
    <x v="3"/>
    <x v="4"/>
    <x v="1"/>
    <x v="7"/>
    <n v="126.95"/>
    <x v="7"/>
    <x v="0"/>
    <x v="3"/>
  </r>
  <r>
    <x v="3"/>
    <x v="4"/>
    <x v="1"/>
    <x v="2"/>
    <n v="35"/>
    <x v="2"/>
    <x v="0"/>
    <x v="3"/>
  </r>
  <r>
    <x v="3"/>
    <x v="4"/>
    <x v="1"/>
    <x v="11"/>
    <n v="217.7"/>
    <x v="17"/>
    <x v="1"/>
    <x v="3"/>
  </r>
  <r>
    <x v="3"/>
    <x v="4"/>
    <x v="1"/>
    <x v="1"/>
    <n v="77.209999999999994"/>
    <x v="15"/>
    <x v="0"/>
    <x v="3"/>
  </r>
  <r>
    <x v="3"/>
    <x v="5"/>
    <x v="0"/>
    <x v="3"/>
    <n v="500"/>
    <x v="27"/>
    <x v="1"/>
    <x v="1"/>
  </r>
  <r>
    <x v="3"/>
    <x v="5"/>
    <x v="0"/>
    <x v="0"/>
    <n v="50"/>
    <x v="14"/>
    <x v="1"/>
    <x v="1"/>
  </r>
  <r>
    <x v="3"/>
    <x v="3"/>
    <x v="1"/>
    <x v="2"/>
    <n v="53"/>
    <x v="2"/>
    <x v="1"/>
    <x v="3"/>
  </r>
  <r>
    <x v="3"/>
    <x v="5"/>
    <x v="0"/>
    <x v="0"/>
    <n v="35"/>
    <x v="29"/>
    <x v="1"/>
    <x v="2"/>
  </r>
  <r>
    <x v="3"/>
    <x v="5"/>
    <x v="0"/>
    <x v="4"/>
    <n v="23"/>
    <x v="33"/>
    <x v="1"/>
    <x v="2"/>
  </r>
  <r>
    <x v="3"/>
    <x v="5"/>
    <x v="1"/>
    <x v="7"/>
    <n v="7.49"/>
    <x v="8"/>
    <x v="1"/>
    <x v="3"/>
  </r>
  <r>
    <x v="3"/>
    <x v="5"/>
    <x v="0"/>
    <x v="5"/>
    <n v="191.39"/>
    <x v="5"/>
    <x v="1"/>
    <x v="2"/>
  </r>
  <r>
    <x v="3"/>
    <x v="5"/>
    <x v="0"/>
    <x v="9"/>
    <n v="40"/>
    <x v="10"/>
    <x v="1"/>
    <x v="2"/>
  </r>
  <r>
    <x v="3"/>
    <x v="5"/>
    <x v="1"/>
    <x v="7"/>
    <n v="396.94"/>
    <x v="7"/>
    <x v="0"/>
    <x v="3"/>
  </r>
  <r>
    <x v="3"/>
    <x v="5"/>
    <x v="1"/>
    <x v="2"/>
    <n v="34.99"/>
    <x v="2"/>
    <x v="0"/>
    <x v="3"/>
  </r>
  <r>
    <x v="3"/>
    <x v="5"/>
    <x v="1"/>
    <x v="1"/>
    <n v="21.17"/>
    <x v="15"/>
    <x v="0"/>
    <x v="3"/>
  </r>
  <r>
    <x v="3"/>
    <x v="5"/>
    <x v="1"/>
    <x v="1"/>
    <n v="42"/>
    <x v="38"/>
    <x v="0"/>
    <x v="3"/>
  </r>
  <r>
    <x v="3"/>
    <x v="5"/>
    <x v="1"/>
    <x v="7"/>
    <n v="13.2"/>
    <x v="7"/>
    <x v="0"/>
    <x v="3"/>
  </r>
  <r>
    <x v="3"/>
    <x v="6"/>
    <x v="0"/>
    <x v="3"/>
    <n v="500"/>
    <x v="27"/>
    <x v="1"/>
    <x v="1"/>
  </r>
  <r>
    <x v="3"/>
    <x v="6"/>
    <x v="0"/>
    <x v="0"/>
    <n v="50"/>
    <x v="14"/>
    <x v="1"/>
    <x v="1"/>
  </r>
  <r>
    <x v="3"/>
    <x v="6"/>
    <x v="0"/>
    <x v="0"/>
    <n v="40"/>
    <x v="29"/>
    <x v="1"/>
    <x v="2"/>
  </r>
  <r>
    <x v="3"/>
    <x v="6"/>
    <x v="0"/>
    <x v="0"/>
    <n v="50"/>
    <x v="14"/>
    <x v="1"/>
    <x v="1"/>
  </r>
  <r>
    <x v="3"/>
    <x v="6"/>
    <x v="0"/>
    <x v="4"/>
    <n v="278"/>
    <x v="39"/>
    <x v="1"/>
    <x v="2"/>
  </r>
  <r>
    <x v="3"/>
    <x v="6"/>
    <x v="1"/>
    <x v="7"/>
    <n v="32.200000000000003"/>
    <x v="8"/>
    <x v="1"/>
    <x v="3"/>
  </r>
  <r>
    <x v="3"/>
    <x v="6"/>
    <x v="0"/>
    <x v="5"/>
    <n v="111"/>
    <x v="5"/>
    <x v="1"/>
    <x v="3"/>
  </r>
  <r>
    <x v="3"/>
    <x v="6"/>
    <x v="1"/>
    <x v="6"/>
    <n v="85.99"/>
    <x v="6"/>
    <x v="1"/>
    <x v="3"/>
  </r>
  <r>
    <x v="3"/>
    <x v="6"/>
    <x v="1"/>
    <x v="7"/>
    <n v="158.19"/>
    <x v="7"/>
    <x v="0"/>
    <x v="3"/>
  </r>
  <r>
    <x v="3"/>
    <x v="6"/>
    <x v="1"/>
    <x v="2"/>
    <n v="35"/>
    <x v="2"/>
    <x v="0"/>
    <x v="3"/>
  </r>
  <r>
    <x v="3"/>
    <x v="6"/>
    <x v="1"/>
    <x v="1"/>
    <n v="42"/>
    <x v="38"/>
    <x v="0"/>
    <x v="3"/>
  </r>
  <r>
    <x v="3"/>
    <x v="6"/>
    <x v="0"/>
    <x v="4"/>
    <n v="65"/>
    <x v="40"/>
    <x v="0"/>
    <x v="4"/>
  </r>
  <r>
    <x v="3"/>
    <x v="6"/>
    <x v="1"/>
    <x v="7"/>
    <n v="114.07"/>
    <x v="19"/>
    <x v="0"/>
    <x v="3"/>
  </r>
  <r>
    <x v="3"/>
    <x v="7"/>
    <x v="0"/>
    <x v="3"/>
    <n v="500"/>
    <x v="27"/>
    <x v="1"/>
    <x v="1"/>
  </r>
  <r>
    <x v="3"/>
    <x v="7"/>
    <x v="0"/>
    <x v="0"/>
    <n v="40"/>
    <x v="29"/>
    <x v="1"/>
    <x v="2"/>
  </r>
  <r>
    <x v="3"/>
    <x v="7"/>
    <x v="0"/>
    <x v="4"/>
    <n v="35"/>
    <x v="33"/>
    <x v="1"/>
    <x v="2"/>
  </r>
  <r>
    <x v="3"/>
    <x v="7"/>
    <x v="0"/>
    <x v="4"/>
    <n v="34.5"/>
    <x v="33"/>
    <x v="1"/>
    <x v="2"/>
  </r>
  <r>
    <x v="3"/>
    <x v="7"/>
    <x v="0"/>
    <x v="4"/>
    <n v="15"/>
    <x v="33"/>
    <x v="1"/>
    <x v="2"/>
  </r>
  <r>
    <x v="3"/>
    <x v="7"/>
    <x v="0"/>
    <x v="4"/>
    <n v="90"/>
    <x v="23"/>
    <x v="1"/>
    <x v="2"/>
  </r>
  <r>
    <x v="3"/>
    <x v="7"/>
    <x v="1"/>
    <x v="2"/>
    <n v="37.5"/>
    <x v="37"/>
    <x v="1"/>
    <x v="3"/>
  </r>
  <r>
    <x v="3"/>
    <x v="7"/>
    <x v="1"/>
    <x v="7"/>
    <n v="25"/>
    <x v="8"/>
    <x v="1"/>
    <x v="3"/>
  </r>
  <r>
    <x v="3"/>
    <x v="7"/>
    <x v="1"/>
    <x v="7"/>
    <n v="36.119999999999997"/>
    <x v="8"/>
    <x v="1"/>
    <x v="3"/>
  </r>
  <r>
    <x v="3"/>
    <x v="7"/>
    <x v="0"/>
    <x v="5"/>
    <n v="239.68"/>
    <x v="5"/>
    <x v="1"/>
    <x v="2"/>
  </r>
  <r>
    <x v="3"/>
    <x v="7"/>
    <x v="1"/>
    <x v="6"/>
    <n v="217.49"/>
    <x v="6"/>
    <x v="1"/>
    <x v="3"/>
  </r>
  <r>
    <x v="3"/>
    <x v="7"/>
    <x v="1"/>
    <x v="7"/>
    <n v="197.01"/>
    <x v="7"/>
    <x v="0"/>
    <x v="3"/>
  </r>
  <r>
    <x v="3"/>
    <x v="7"/>
    <x v="1"/>
    <x v="7"/>
    <n v="56.5"/>
    <x v="19"/>
    <x v="0"/>
    <x v="3"/>
  </r>
  <r>
    <x v="3"/>
    <x v="7"/>
    <x v="0"/>
    <x v="4"/>
    <n v="22.8"/>
    <x v="32"/>
    <x v="0"/>
    <x v="4"/>
  </r>
  <r>
    <x v="3"/>
    <x v="7"/>
    <x v="1"/>
    <x v="1"/>
    <n v="42"/>
    <x v="38"/>
    <x v="0"/>
    <x v="3"/>
  </r>
  <r>
    <x v="3"/>
    <x v="7"/>
    <x v="2"/>
    <x v="10"/>
    <n v="17"/>
    <x v="13"/>
    <x v="0"/>
    <x v="3"/>
  </r>
  <r>
    <x v="3"/>
    <x v="7"/>
    <x v="0"/>
    <x v="0"/>
    <n v="6"/>
    <x v="31"/>
    <x v="0"/>
    <x v="2"/>
  </r>
  <r>
    <x v="4"/>
    <x v="8"/>
    <x v="0"/>
    <x v="3"/>
    <n v="500"/>
    <x v="27"/>
    <x v="1"/>
    <x v="1"/>
  </r>
  <r>
    <x v="4"/>
    <x v="8"/>
    <x v="0"/>
    <x v="0"/>
    <n v="101"/>
    <x v="14"/>
    <x v="1"/>
    <x v="1"/>
  </r>
  <r>
    <x v="4"/>
    <x v="8"/>
    <x v="0"/>
    <x v="0"/>
    <n v="40"/>
    <x v="29"/>
    <x v="1"/>
    <x v="2"/>
  </r>
  <r>
    <x v="4"/>
    <x v="8"/>
    <x v="0"/>
    <x v="0"/>
    <n v="6"/>
    <x v="31"/>
    <x v="0"/>
    <x v="2"/>
  </r>
  <r>
    <x v="4"/>
    <x v="8"/>
    <x v="0"/>
    <x v="4"/>
    <n v="33"/>
    <x v="33"/>
    <x v="1"/>
    <x v="2"/>
  </r>
  <r>
    <x v="4"/>
    <x v="8"/>
    <x v="0"/>
    <x v="4"/>
    <n v="61.8"/>
    <x v="32"/>
    <x v="0"/>
    <x v="4"/>
  </r>
  <r>
    <x v="4"/>
    <x v="8"/>
    <x v="0"/>
    <x v="4"/>
    <n v="31.2"/>
    <x v="41"/>
    <x v="0"/>
    <x v="4"/>
  </r>
  <r>
    <x v="4"/>
    <x v="8"/>
    <x v="0"/>
    <x v="5"/>
    <n v="235.73"/>
    <x v="5"/>
    <x v="1"/>
    <x v="2"/>
  </r>
  <r>
    <x v="4"/>
    <x v="8"/>
    <x v="1"/>
    <x v="6"/>
    <n v="34.5"/>
    <x v="6"/>
    <x v="1"/>
    <x v="3"/>
  </r>
  <r>
    <x v="4"/>
    <x v="8"/>
    <x v="1"/>
    <x v="7"/>
    <n v="145"/>
    <x v="8"/>
    <x v="1"/>
    <x v="3"/>
  </r>
  <r>
    <x v="4"/>
    <x v="8"/>
    <x v="1"/>
    <x v="7"/>
    <n v="68.38"/>
    <x v="7"/>
    <x v="0"/>
    <x v="3"/>
  </r>
  <r>
    <x v="4"/>
    <x v="8"/>
    <x v="1"/>
    <x v="11"/>
    <n v="207.88"/>
    <x v="17"/>
    <x v="1"/>
    <x v="3"/>
  </r>
  <r>
    <x v="4"/>
    <x v="8"/>
    <x v="1"/>
    <x v="1"/>
    <n v="42"/>
    <x v="38"/>
    <x v="0"/>
    <x v="3"/>
  </r>
  <r>
    <x v="4"/>
    <x v="9"/>
    <x v="0"/>
    <x v="3"/>
    <n v="500"/>
    <x v="27"/>
    <x v="1"/>
    <x v="1"/>
  </r>
  <r>
    <x v="4"/>
    <x v="9"/>
    <x v="0"/>
    <x v="0"/>
    <n v="40"/>
    <x v="29"/>
    <x v="1"/>
    <x v="2"/>
  </r>
  <r>
    <x v="4"/>
    <x v="9"/>
    <x v="0"/>
    <x v="0"/>
    <n v="80"/>
    <x v="35"/>
    <x v="1"/>
    <x v="2"/>
  </r>
  <r>
    <x v="4"/>
    <x v="9"/>
    <x v="0"/>
    <x v="0"/>
    <n v="6"/>
    <x v="31"/>
    <x v="0"/>
    <x v="2"/>
  </r>
  <r>
    <x v="4"/>
    <x v="9"/>
    <x v="0"/>
    <x v="4"/>
    <n v="50"/>
    <x v="33"/>
    <x v="1"/>
    <x v="2"/>
  </r>
  <r>
    <x v="4"/>
    <x v="9"/>
    <x v="0"/>
    <x v="4"/>
    <n v="86"/>
    <x v="32"/>
    <x v="0"/>
    <x v="4"/>
  </r>
  <r>
    <x v="4"/>
    <x v="9"/>
    <x v="0"/>
    <x v="5"/>
    <n v="187.68"/>
    <x v="5"/>
    <x v="1"/>
    <x v="2"/>
  </r>
  <r>
    <x v="4"/>
    <x v="9"/>
    <x v="0"/>
    <x v="9"/>
    <n v="97.97"/>
    <x v="10"/>
    <x v="1"/>
    <x v="2"/>
  </r>
  <r>
    <x v="4"/>
    <x v="9"/>
    <x v="1"/>
    <x v="6"/>
    <n v="34"/>
    <x v="6"/>
    <x v="1"/>
    <x v="3"/>
  </r>
  <r>
    <x v="4"/>
    <x v="9"/>
    <x v="1"/>
    <x v="7"/>
    <n v="357.5"/>
    <x v="8"/>
    <x v="1"/>
    <x v="3"/>
  </r>
  <r>
    <x v="4"/>
    <x v="9"/>
    <x v="1"/>
    <x v="7"/>
    <n v="60.4"/>
    <x v="7"/>
    <x v="0"/>
    <x v="3"/>
  </r>
  <r>
    <x v="4"/>
    <x v="9"/>
    <x v="1"/>
    <x v="2"/>
    <n v="67.98"/>
    <x v="13"/>
    <x v="0"/>
    <x v="3"/>
  </r>
  <r>
    <x v="4"/>
    <x v="9"/>
    <x v="1"/>
    <x v="1"/>
    <n v="42"/>
    <x v="38"/>
    <x v="0"/>
    <x v="3"/>
  </r>
  <r>
    <x v="4"/>
    <x v="10"/>
    <x v="0"/>
    <x v="3"/>
    <n v="500"/>
    <x v="27"/>
    <x v="1"/>
    <x v="1"/>
  </r>
  <r>
    <x v="4"/>
    <x v="10"/>
    <x v="0"/>
    <x v="0"/>
    <n v="207"/>
    <x v="14"/>
    <x v="1"/>
    <x v="1"/>
  </r>
  <r>
    <x v="4"/>
    <x v="10"/>
    <x v="0"/>
    <x v="0"/>
    <n v="40"/>
    <x v="29"/>
    <x v="1"/>
    <x v="2"/>
  </r>
  <r>
    <x v="4"/>
    <x v="10"/>
    <x v="0"/>
    <x v="0"/>
    <n v="6"/>
    <x v="31"/>
    <x v="0"/>
    <x v="2"/>
  </r>
  <r>
    <x v="4"/>
    <x v="10"/>
    <x v="0"/>
    <x v="4"/>
    <n v="74.13"/>
    <x v="33"/>
    <x v="1"/>
    <x v="2"/>
  </r>
  <r>
    <x v="4"/>
    <x v="10"/>
    <x v="0"/>
    <x v="4"/>
    <n v="50"/>
    <x v="32"/>
    <x v="0"/>
    <x v="4"/>
  </r>
  <r>
    <x v="4"/>
    <x v="10"/>
    <x v="0"/>
    <x v="4"/>
    <n v="107"/>
    <x v="11"/>
    <x v="1"/>
    <x v="4"/>
  </r>
  <r>
    <x v="4"/>
    <x v="10"/>
    <x v="0"/>
    <x v="12"/>
    <n v="75.489999999999995"/>
    <x v="22"/>
    <x v="0"/>
    <x v="4"/>
  </r>
  <r>
    <x v="4"/>
    <x v="10"/>
    <x v="0"/>
    <x v="5"/>
    <n v="198.86"/>
    <x v="5"/>
    <x v="1"/>
    <x v="2"/>
  </r>
  <r>
    <x v="4"/>
    <x v="10"/>
    <x v="1"/>
    <x v="6"/>
    <n v="141"/>
    <x v="6"/>
    <x v="1"/>
    <x v="3"/>
  </r>
  <r>
    <x v="4"/>
    <x v="10"/>
    <x v="1"/>
    <x v="7"/>
    <n v="65.47"/>
    <x v="7"/>
    <x v="0"/>
    <x v="3"/>
  </r>
  <r>
    <x v="4"/>
    <x v="10"/>
    <x v="1"/>
    <x v="11"/>
    <n v="400"/>
    <x v="17"/>
    <x v="1"/>
    <x v="3"/>
  </r>
  <r>
    <x v="4"/>
    <x v="10"/>
    <x v="1"/>
    <x v="2"/>
    <n v="41"/>
    <x v="2"/>
    <x v="0"/>
    <x v="3"/>
  </r>
  <r>
    <x v="4"/>
    <x v="10"/>
    <x v="1"/>
    <x v="1"/>
    <n v="42"/>
    <x v="38"/>
    <x v="0"/>
    <x v="3"/>
  </r>
  <r>
    <x v="4"/>
    <x v="10"/>
    <x v="1"/>
    <x v="10"/>
    <n v="6"/>
    <x v="13"/>
    <x v="0"/>
    <x v="3"/>
  </r>
  <r>
    <x v="4"/>
    <x v="11"/>
    <x v="0"/>
    <x v="3"/>
    <n v="500"/>
    <x v="27"/>
    <x v="1"/>
    <x v="1"/>
  </r>
  <r>
    <x v="4"/>
    <x v="11"/>
    <x v="0"/>
    <x v="0"/>
    <n v="31"/>
    <x v="29"/>
    <x v="1"/>
    <x v="2"/>
  </r>
  <r>
    <x v="4"/>
    <x v="11"/>
    <x v="0"/>
    <x v="0"/>
    <n v="6"/>
    <x v="31"/>
    <x v="0"/>
    <x v="2"/>
  </r>
  <r>
    <x v="4"/>
    <x v="11"/>
    <x v="0"/>
    <x v="4"/>
    <n v="92.3"/>
    <x v="32"/>
    <x v="0"/>
    <x v="4"/>
  </r>
  <r>
    <x v="4"/>
    <x v="11"/>
    <x v="0"/>
    <x v="9"/>
    <n v="55.39"/>
    <x v="10"/>
    <x v="1"/>
    <x v="2"/>
  </r>
  <r>
    <x v="4"/>
    <x v="11"/>
    <x v="0"/>
    <x v="5"/>
    <n v="238.68"/>
    <x v="5"/>
    <x v="1"/>
    <x v="2"/>
  </r>
  <r>
    <x v="4"/>
    <x v="11"/>
    <x v="1"/>
    <x v="6"/>
    <n v="84.49"/>
    <x v="6"/>
    <x v="1"/>
    <x v="3"/>
  </r>
  <r>
    <x v="4"/>
    <x v="11"/>
    <x v="1"/>
    <x v="7"/>
    <n v="171.56"/>
    <x v="7"/>
    <x v="0"/>
    <x v="3"/>
  </r>
  <r>
    <x v="4"/>
    <x v="11"/>
    <x v="1"/>
    <x v="11"/>
    <n v="113"/>
    <x v="17"/>
    <x v="1"/>
    <x v="3"/>
  </r>
  <r>
    <x v="4"/>
    <x v="11"/>
    <x v="1"/>
    <x v="2"/>
    <n v="41"/>
    <x v="2"/>
    <x v="0"/>
    <x v="3"/>
  </r>
  <r>
    <x v="4"/>
    <x v="11"/>
    <x v="1"/>
    <x v="1"/>
    <n v="21"/>
    <x v="38"/>
    <x v="0"/>
    <x v="3"/>
  </r>
  <r>
    <x v="4"/>
    <x v="0"/>
    <x v="0"/>
    <x v="3"/>
    <n v="500"/>
    <x v="27"/>
    <x v="1"/>
    <x v="1"/>
  </r>
  <r>
    <x v="4"/>
    <x v="0"/>
    <x v="0"/>
    <x v="0"/>
    <n v="137"/>
    <x v="14"/>
    <x v="1"/>
    <x v="1"/>
  </r>
  <r>
    <x v="4"/>
    <x v="0"/>
    <x v="0"/>
    <x v="0"/>
    <n v="40"/>
    <x v="29"/>
    <x v="1"/>
    <x v="2"/>
  </r>
  <r>
    <x v="4"/>
    <x v="0"/>
    <x v="0"/>
    <x v="0"/>
    <n v="6"/>
    <x v="31"/>
    <x v="0"/>
    <x v="2"/>
  </r>
  <r>
    <x v="4"/>
    <x v="0"/>
    <x v="0"/>
    <x v="4"/>
    <n v="70.41"/>
    <x v="33"/>
    <x v="0"/>
    <x v="2"/>
  </r>
  <r>
    <x v="4"/>
    <x v="0"/>
    <x v="0"/>
    <x v="4"/>
    <n v="16.8"/>
    <x v="32"/>
    <x v="0"/>
    <x v="4"/>
  </r>
  <r>
    <x v="4"/>
    <x v="0"/>
    <x v="0"/>
    <x v="5"/>
    <n v="36"/>
    <x v="5"/>
    <x v="1"/>
    <x v="2"/>
  </r>
  <r>
    <x v="4"/>
    <x v="0"/>
    <x v="1"/>
    <x v="7"/>
    <n v="51.67"/>
    <x v="7"/>
    <x v="0"/>
    <x v="3"/>
  </r>
  <r>
    <x v="4"/>
    <x v="0"/>
    <x v="1"/>
    <x v="2"/>
    <n v="110.49"/>
    <x v="13"/>
    <x v="1"/>
    <x v="3"/>
  </r>
  <r>
    <x v="4"/>
    <x v="0"/>
    <x v="1"/>
    <x v="11"/>
    <n v="345.11"/>
    <x v="17"/>
    <x v="1"/>
    <x v="3"/>
  </r>
  <r>
    <x v="4"/>
    <x v="0"/>
    <x v="0"/>
    <x v="0"/>
    <n v="41"/>
    <x v="29"/>
    <x v="1"/>
    <x v="2"/>
  </r>
  <r>
    <x v="4"/>
    <x v="1"/>
    <x v="0"/>
    <x v="3"/>
    <n v="500"/>
    <x v="27"/>
    <x v="1"/>
    <x v="1"/>
  </r>
  <r>
    <x v="4"/>
    <x v="1"/>
    <x v="0"/>
    <x v="0"/>
    <n v="40"/>
    <x v="29"/>
    <x v="1"/>
    <x v="2"/>
  </r>
  <r>
    <x v="4"/>
    <x v="1"/>
    <x v="0"/>
    <x v="0"/>
    <n v="6"/>
    <x v="31"/>
    <x v="0"/>
    <x v="2"/>
  </r>
  <r>
    <x v="4"/>
    <x v="1"/>
    <x v="0"/>
    <x v="4"/>
    <n v="60"/>
    <x v="33"/>
    <x v="0"/>
    <x v="2"/>
  </r>
  <r>
    <x v="4"/>
    <x v="1"/>
    <x v="0"/>
    <x v="4"/>
    <n v="40"/>
    <x v="32"/>
    <x v="0"/>
    <x v="4"/>
  </r>
  <r>
    <x v="4"/>
    <x v="1"/>
    <x v="0"/>
    <x v="4"/>
    <n v="21.6"/>
    <x v="41"/>
    <x v="0"/>
    <x v="4"/>
  </r>
  <r>
    <x v="4"/>
    <x v="1"/>
    <x v="0"/>
    <x v="8"/>
    <n v="60"/>
    <x v="9"/>
    <x v="1"/>
    <x v="4"/>
  </r>
  <r>
    <x v="4"/>
    <x v="1"/>
    <x v="0"/>
    <x v="9"/>
    <n v="158.30000000000001"/>
    <x v="10"/>
    <x v="0"/>
    <x v="2"/>
  </r>
  <r>
    <x v="4"/>
    <x v="1"/>
    <x v="0"/>
    <x v="5"/>
    <n v="341.68"/>
    <x v="5"/>
    <x v="1"/>
    <x v="2"/>
  </r>
  <r>
    <x v="4"/>
    <x v="1"/>
    <x v="1"/>
    <x v="6"/>
    <n v="147.63"/>
    <x v="6"/>
    <x v="1"/>
    <x v="3"/>
  </r>
  <r>
    <x v="4"/>
    <x v="1"/>
    <x v="1"/>
    <x v="7"/>
    <n v="71.86"/>
    <x v="7"/>
    <x v="0"/>
    <x v="3"/>
  </r>
  <r>
    <x v="4"/>
    <x v="1"/>
    <x v="1"/>
    <x v="2"/>
    <n v="113"/>
    <x v="42"/>
    <x v="1"/>
    <x v="3"/>
  </r>
  <r>
    <x v="4"/>
    <x v="1"/>
    <x v="1"/>
    <x v="11"/>
    <n v="1125"/>
    <x v="17"/>
    <x v="1"/>
    <x v="3"/>
  </r>
  <r>
    <x v="4"/>
    <x v="1"/>
    <x v="1"/>
    <x v="1"/>
    <n v="50"/>
    <x v="38"/>
    <x v="0"/>
    <x v="3"/>
  </r>
  <r>
    <x v="4"/>
    <x v="10"/>
    <x v="1"/>
    <x v="2"/>
    <n v="52"/>
    <x v="42"/>
    <x v="1"/>
    <x v="3"/>
  </r>
  <r>
    <x v="4"/>
    <x v="10"/>
    <x v="1"/>
    <x v="2"/>
    <n v="25.98"/>
    <x v="13"/>
    <x v="0"/>
    <x v="3"/>
  </r>
  <r>
    <x v="4"/>
    <x v="11"/>
    <x v="1"/>
    <x v="2"/>
    <n v="53"/>
    <x v="42"/>
    <x v="1"/>
    <x v="3"/>
  </r>
  <r>
    <x v="4"/>
    <x v="11"/>
    <x v="1"/>
    <x v="2"/>
    <n v="3.99"/>
    <x v="13"/>
    <x v="0"/>
    <x v="3"/>
  </r>
  <r>
    <x v="4"/>
    <x v="1"/>
    <x v="1"/>
    <x v="2"/>
    <n v="41"/>
    <x v="2"/>
    <x v="0"/>
    <x v="3"/>
  </r>
  <r>
    <x v="4"/>
    <x v="1"/>
    <x v="1"/>
    <x v="2"/>
    <n v="31.48"/>
    <x v="13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80195-3EB2-449D-9C19-FC051C6D080A}" name="Tabela Dinâmica1" cacheId="1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2:K58" firstHeaderRow="1" firstDataRow="1" firstDataCol="4"/>
  <pivotFields count="5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6">
        <item sd="0" x="8"/>
        <item sd="0" x="9"/>
        <item sd="0" x="10"/>
        <item sd="0" x="11"/>
        <item sd="0" x="0"/>
        <item sd="0" x="1"/>
        <item sd="0" x="2"/>
        <item sd="0" x="3"/>
        <item sd="0" x="4"/>
        <item sd="0" x="5"/>
        <item sd="0" x="12"/>
        <item sd="0" x="7"/>
        <item sd="0" x="6"/>
        <item sd="0" x="13"/>
        <item sd="0" x="14"/>
        <item t="default" sd="0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2">
        <item x="9"/>
        <item x="4"/>
        <item x="5"/>
        <item x="6"/>
        <item x="2"/>
        <item x="1"/>
        <item x="3"/>
        <item x="7"/>
        <item x="10"/>
        <item x="0"/>
        <item x="8"/>
        <item t="default"/>
      </items>
    </pivotField>
    <pivotField dataField="1" compact="0" numFmtId="164" outline="0" showAll="0"/>
  </pivotFields>
  <rowFields count="4">
    <field x="0"/>
    <field x="1"/>
    <field x="2"/>
    <field x="3"/>
  </rowFields>
  <rowItems count="56">
    <i>
      <x/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 v="2"/>
    </i>
    <i r="1">
      <x v="3"/>
    </i>
    <i r="1">
      <x v="4"/>
    </i>
    <i r="1">
      <x v="5"/>
    </i>
    <i r="1">
      <x v="13"/>
    </i>
    <i r="1">
      <x v="14"/>
    </i>
    <i t="default">
      <x v="4"/>
    </i>
    <i t="grand">
      <x/>
    </i>
  </rowItems>
  <colItems count="1">
    <i/>
  </colItems>
  <dataFields count="1">
    <dataField name="Soma de Amount " fld="4" baseField="0" baseItem="0" numFmtId="164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DA210-B778-43F3-9854-3882B901E726}" name="Tabela Dinâmica1" cacheId="1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2:N58" firstHeaderRow="1" firstDataRow="1" firstDataCol="4"/>
  <pivotFields count="8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3">
        <item sd="0" x="8"/>
        <item sd="0" x="9"/>
        <item sd="0" x="10"/>
        <item sd="0" x="11"/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7">
        <item x="0"/>
        <item m="1" x="14"/>
        <item x="9"/>
        <item x="6"/>
        <item x="5"/>
        <item x="12"/>
        <item x="13"/>
        <item x="1"/>
        <item x="3"/>
        <item x="7"/>
        <item x="2"/>
        <item x="4"/>
        <item x="11"/>
        <item x="10"/>
        <item x="8"/>
        <item m="1" x="15"/>
        <item t="default"/>
      </items>
    </pivotField>
    <pivotField dataField="1" compact="0" numFmtId="165" outline="0" showAll="0"/>
    <pivotField compact="0" outline="0" showAll="0">
      <items count="68">
        <item x="31"/>
        <item m="1" x="53"/>
        <item x="42"/>
        <item m="1" x="66"/>
        <item m="1" x="48"/>
        <item x="26"/>
        <item m="1" x="55"/>
        <item x="32"/>
        <item x="11"/>
        <item m="1" x="52"/>
        <item m="1" x="51"/>
        <item x="1"/>
        <item x="38"/>
        <item m="1" x="56"/>
        <item m="1" x="49"/>
        <item x="33"/>
        <item x="4"/>
        <item m="1" x="58"/>
        <item m="1" x="43"/>
        <item x="10"/>
        <item x="40"/>
        <item x="30"/>
        <item x="6"/>
        <item x="14"/>
        <item m="1" x="64"/>
        <item x="19"/>
        <item x="5"/>
        <item x="2"/>
        <item x="22"/>
        <item x="36"/>
        <item x="8"/>
        <item m="1" x="54"/>
        <item x="39"/>
        <item x="20"/>
        <item x="29"/>
        <item x="27"/>
        <item x="25"/>
        <item x="35"/>
        <item x="28"/>
        <item x="16"/>
        <item x="34"/>
        <item x="21"/>
        <item x="24"/>
        <item x="7"/>
        <item x="0"/>
        <item m="1" x="50"/>
        <item m="1" x="46"/>
        <item m="1" x="45"/>
        <item x="3"/>
        <item m="1" x="47"/>
        <item x="12"/>
        <item x="23"/>
        <item m="1" x="62"/>
        <item m="1" x="65"/>
        <item m="1" x="59"/>
        <item m="1" x="60"/>
        <item x="15"/>
        <item m="1" x="63"/>
        <item m="1" x="61"/>
        <item x="17"/>
        <item x="41"/>
        <item x="37"/>
        <item m="1" x="57"/>
        <item x="9"/>
        <item x="18"/>
        <item m="1" x="44"/>
        <item x="13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1"/>
        <item x="3"/>
        <item x="4"/>
        <item x="0"/>
        <item t="default"/>
      </items>
    </pivotField>
  </pivotFields>
  <rowFields count="4">
    <field x="0"/>
    <field x="1"/>
    <field x="2"/>
    <field x="3"/>
  </rowFields>
  <rowItems count="56">
    <i>
      <x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t="default">
      <x v="4"/>
    </i>
    <i t="grand">
      <x/>
    </i>
  </rowItems>
  <colItems count="1">
    <i/>
  </colItems>
  <dataFields count="1">
    <dataField name="Soma de Amount" fld="4" baseField="0" baseItem="0" numFmtId="165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1C34E507-3E07-4F6A-A2F7-D53D7AC210BF}" sourceName="Year">
  <pivotTables>
    <pivotTable tabId="4" name="Tabela Dinâmica1"/>
  </pivotTables>
  <data>
    <tabular pivotCacheId="872814275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5ADF31D4-7D94-41F0-B375-0B01D27B5308}" sourceName="Month">
  <pivotTables>
    <pivotTable tabId="4" name="Tabela Dinâmica1"/>
  </pivotTables>
  <data>
    <tabular pivotCacheId="872814275">
      <items count="12">
        <i x="11" s="1"/>
        <i x="3" s="1"/>
        <i x="7" s="1"/>
        <i x="9" s="1"/>
        <i x="8" s="1"/>
        <i x="2" s="1"/>
        <i x="1" s="1"/>
        <i x="10" s="1"/>
        <i x="0" s="1"/>
        <i x="6" s="1"/>
        <i x="5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1E648ABC-6E8C-47D8-82A4-B691AA9B3F67}" sourceName="Category">
  <pivotTables>
    <pivotTable tabId="4" name="Tabela Dinâmica1"/>
  </pivotTables>
  <data>
    <tabular pivotCacheId="872814275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category" xr10:uid="{8501D9AA-DFA0-4196-9AAB-FE92A627FC22}" sourceName="Subcategory">
  <pivotTables>
    <pivotTable tabId="4" name="Tabela Dinâmica1"/>
  </pivotTables>
  <data>
    <tabular pivotCacheId="872814275">
      <items count="16">
        <i x="0" s="1"/>
        <i x="9" s="1"/>
        <i x="6" s="1"/>
        <i x="5" s="1"/>
        <i x="12" s="1"/>
        <i x="13" s="1"/>
        <i x="1" s="1"/>
        <i x="3" s="1"/>
        <i x="7" s="1"/>
        <i x="2" s="1"/>
        <i x="4" s="1"/>
        <i x="11" s="1"/>
        <i x="10" s="1"/>
        <i x="8" s="1"/>
        <i x="14" s="1" nd="1"/>
        <i x="1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1" xr10:uid="{1DF00518-EDD1-4305-AD0B-CA8243B2FB45}" sourceName="Year">
  <pivotTables>
    <pivotTable tabId="3" name="Tabela Dinâmica1"/>
  </pivotTables>
  <data>
    <tabular pivotCacheId="503624073">
      <items count="5">
        <i x="0" s="1"/>
        <i x="1" s="1"/>
        <i x="2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1" xr10:uid="{7E5C111B-8E3D-4DD1-B36A-C92842F21917}" sourceName="Month">
  <pivotTables>
    <pivotTable tabId="3" name="Tabela Dinâmica1"/>
  </pivotTables>
  <data>
    <tabular pivotCacheId="503624073">
      <items count="15">
        <i x="13" s="1"/>
        <i x="14" s="1"/>
        <i x="10" s="1"/>
        <i x="11" s="1"/>
        <i x="0" s="1"/>
        <i x="1" s="1"/>
        <i x="2" s="1"/>
        <i x="3" s="1"/>
        <i x="4" s="1"/>
        <i x="5" s="1"/>
        <i x="12" s="1"/>
        <i x="7" s="1"/>
        <i x="9" s="1"/>
        <i x="8" s="1"/>
        <i x="6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1" xr10:uid="{368D011F-E5F1-4A89-ABFF-95B0109A3575}" sourceName="Category">
  <pivotTables>
    <pivotTable tabId="3" name="Tabela Dinâmica1"/>
  </pivotTables>
  <data>
    <tabular pivotCacheId="503624073">
      <items count="3">
        <i x="0" s="1"/>
        <i x="1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categorie" xr10:uid="{86C92092-8C84-44CC-A763-1862AF68CA13}" sourceName="Subcategorie">
  <pivotTables>
    <pivotTable tabId="3" name="Tabela Dinâmica1"/>
  </pivotTables>
  <data>
    <tabular pivotCacheId="503624073">
      <items count="11">
        <i x="9" s="1"/>
        <i x="4" s="1"/>
        <i x="5" s="1"/>
        <i x="6" s="1"/>
        <i x="2" s="1"/>
        <i x="1" s="1"/>
        <i x="3" s="1"/>
        <i x="7" s="1"/>
        <i x="10" s="1"/>
        <i x="0" s="1"/>
        <i x="8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ption" xr10:uid="{AE796BEC-D0A7-4B6A-B617-8318A148B939}" sourceName="Description">
  <pivotTables>
    <pivotTable tabId="4" name="Tabela Dinâmica1"/>
  </pivotTables>
  <data>
    <tabular pivotCacheId="872814275">
      <items count="67">
        <i x="31" s="1"/>
        <i x="42" s="1"/>
        <i x="26" s="1"/>
        <i x="32" s="1"/>
        <i x="11" s="1"/>
        <i x="1" s="1"/>
        <i x="38" s="1"/>
        <i x="33" s="1"/>
        <i x="4" s="1"/>
        <i x="10" s="1"/>
        <i x="40" s="1"/>
        <i x="30" s="1"/>
        <i x="6" s="1"/>
        <i x="14" s="1"/>
        <i x="19" s="1"/>
        <i x="5" s="1"/>
        <i x="2" s="1"/>
        <i x="22" s="1"/>
        <i x="36" s="1"/>
        <i x="8" s="1"/>
        <i x="39" s="1"/>
        <i x="20" s="1"/>
        <i x="29" s="1"/>
        <i x="27" s="1"/>
        <i x="25" s="1"/>
        <i x="35" s="1"/>
        <i x="28" s="1"/>
        <i x="16" s="1"/>
        <i x="34" s="1"/>
        <i x="21" s="1"/>
        <i x="24" s="1"/>
        <i x="7" s="1"/>
        <i x="0" s="1"/>
        <i x="3" s="1"/>
        <i x="12" s="1"/>
        <i x="23" s="1"/>
        <i x="15" s="1"/>
        <i x="17" s="1"/>
        <i x="41" s="1"/>
        <i x="37" s="1"/>
        <i x="9" s="1"/>
        <i x="18" s="1"/>
        <i x="13" s="1"/>
        <i x="53" s="1" nd="1"/>
        <i x="66" s="1" nd="1"/>
        <i x="48" s="1" nd="1"/>
        <i x="55" s="1" nd="1"/>
        <i x="52" s="1" nd="1"/>
        <i x="51" s="1" nd="1"/>
        <i x="56" s="1" nd="1"/>
        <i x="49" s="1" nd="1"/>
        <i x="58" s="1" nd="1"/>
        <i x="43" s="1" nd="1"/>
        <i x="64" s="1" nd="1"/>
        <i x="54" s="1" nd="1"/>
        <i x="50" s="1" nd="1"/>
        <i x="46" s="1" nd="1"/>
        <i x="45" s="1" nd="1"/>
        <i x="47" s="1" nd="1"/>
        <i x="62" s="1" nd="1"/>
        <i x="65" s="1" nd="1"/>
        <i x="59" s="1" nd="1"/>
        <i x="60" s="1" nd="1"/>
        <i x="63" s="1" nd="1"/>
        <i x="61" s="1" nd="1"/>
        <i x="57" s="1" nd="1"/>
        <i x="44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plit_Type" xr10:uid="{FEC4CD03-AADF-473F-B6D0-AE1DCF285DC2}" sourceName="Split_Type">
  <pivotTables>
    <pivotTable tabId="4" name="Tabela Dinâmica1"/>
  </pivotTables>
  <data>
    <tabular pivotCacheId="872814275">
      <items count="2">
        <i x="1" s="1"/>
        <i x="0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xtra_Category" xr10:uid="{E421B434-9CFB-4222-9EB7-51EA76FB5BC7}" sourceName="Extra Category ">
  <pivotTables>
    <pivotTable tabId="4" name="Tabela Dinâmica1"/>
  </pivotTables>
  <data>
    <tabular pivotCacheId="872814275">
      <items count="5">
        <i x="2" s="1"/>
        <i x="1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C5296CDA-8A33-479D-AB3A-EAC0CAF168EC}" cache="SegmentaçãoDeDados_Year1" caption="Year" startItem="1" style="SlicerStyleLight3" rowHeight="228600"/>
  <slicer name="Month 1" xr10:uid="{BAA16975-22AB-46CC-951C-A66DC88861B4}" cache="SegmentaçãoDeDados_Month1" caption="Month" style="SlicerStyleLight3" rowHeight="228600"/>
  <slicer name="Category 1" xr10:uid="{77D853E0-C4A3-46C6-84F8-44D1885F5E77}" cache="SegmentaçãoDeDados_Category1" caption="Category" style="SlicerStyleLight3" rowHeight="228600"/>
  <slicer name="Subcategorie" xr10:uid="{1388902B-B51A-4AB3-A82C-876239000641}" cache="SegmentaçãoDeDados_Subcategorie" caption="Subcategorie" style="SlicerStyleLight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A78A7AA-2CCC-4097-A99F-8FD5B4767886}" cache="SegmentaçãoDeDados_Year" caption="Year" columnCount="4" style="SlicerStyleLight3" rowHeight="228600"/>
  <slicer name="Month" xr10:uid="{02587DB5-F0FD-471B-A9EB-B67BFBA0B938}" cache="SegmentaçãoDeDados_Month" caption="Month" style="SlicerStyleLight3" rowHeight="228600"/>
  <slicer name="Category" xr10:uid="{22707B48-D737-47B8-BA22-9E5DC6DA0940}" cache="SegmentaçãoDeDados_Category" caption="Category" columnCount="3" style="SlicerStyleLight3" rowHeight="228600"/>
  <slicer name="Subcategory" xr10:uid="{8491D7DA-0EE4-4136-BC67-ACEC939B1591}" cache="SegmentaçãoDeDados_Subcategory" caption="Subcategory" style="SlicerStyleLight3" rowHeight="228600"/>
  <slicer name="Description" xr10:uid="{C22A900A-948F-4979-9D18-B74F081BCB32}" cache="SegmentaçãoDeDados_Description" caption="Description" style="SlicerStyleLight3" rowHeight="228600"/>
  <slicer name="Split_Type" xr10:uid="{34CCB735-1FDC-4958-87E8-1582E1135769}" cache="SegmentaçãoDeDados_Split_Type" caption="Split_Type" style="SlicerStyleLight3" rowHeight="228600"/>
  <slicer name="Extra Category " xr10:uid="{315DF9AE-DD0D-41AE-8DBC-3142C68EC28B}" cache="Slicer_Extra_Category" caption="Extra Category 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AC148-65D2-4FC4-8BC5-C7C044518F18}" name="Table2" displayName="Table2" ref="A1:E225" totalsRowShown="0" headerRowDxfId="9">
  <autoFilter ref="A1:E225" xr:uid="{F95AC148-65D2-4FC4-8BC5-C7C044518F18}"/>
  <tableColumns count="5">
    <tableColumn id="1" xr3:uid="{CC23EBDB-C0E6-4858-B990-808220FEFD4C}" name="Year"/>
    <tableColumn id="2" xr3:uid="{10705249-027F-4214-B78C-1E98AEC8585F}" name="Month"/>
    <tableColumn id="3" xr3:uid="{AD01A84F-8DC6-4C06-8869-040AF6019F17}" name="Category" dataDxfId="8"/>
    <tableColumn id="4" xr3:uid="{D66EE794-6014-4A53-A0C4-9087D0E45D20}" name="Subcategorie" dataDxfId="7"/>
    <tableColumn id="5" xr3:uid="{17A87598-C29B-448E-A889-EE26D098BE84}" name="Amount 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8D880-E542-4C89-A899-1BAF2FA48A84}" name="Table14" displayName="Table14" ref="A1:H618" totalsRowShown="0" headerRowDxfId="5">
  <autoFilter ref="A1:H618" xr:uid="{2B52381C-0F25-44CF-A061-CF77ECD8FAD7}"/>
  <tableColumns count="8">
    <tableColumn id="1" xr3:uid="{00F05647-E63E-43E9-9539-EBCCC002875C}" name="Year"/>
    <tableColumn id="2" xr3:uid="{D9893580-A9DD-4FDB-B712-6B3125DD7862}" name="Month"/>
    <tableColumn id="3" xr3:uid="{53A2CDD2-9063-464D-8D50-BA705DA5DA4B}" name="Category"/>
    <tableColumn id="4" xr3:uid="{FA5B8935-A453-4756-8542-10956C3824A4}" name="Subcategory"/>
    <tableColumn id="5" xr3:uid="{1E488367-A2D0-4AC2-AA92-5CCB88CB9540}" name="Amount" dataDxfId="4"/>
    <tableColumn id="7" xr3:uid="{E02A4A21-E2A0-4C5E-BEFA-A8748E4DCE2D}" name="Description"/>
    <tableColumn id="6" xr3:uid="{92EE2904-6D78-438A-9DC8-757DBF0DD865}" name="Split_Type"/>
    <tableColumn id="8" xr3:uid="{511C3F85-1412-4C3E-A71C-667E514C1E8E}" name="Extra Category 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D25CD-E406-406C-A65B-8183DB63247A}" name="Tabela4" displayName="Tabela4" ref="A1:C7" totalsRowShown="0">
  <autoFilter ref="A1:C7" xr:uid="{D94D25CD-E406-406C-A65B-8183DB63247A}"/>
  <tableColumns count="3">
    <tableColumn id="1" xr3:uid="{B830E1FA-6F16-4B78-BE7E-F92495635E39}" name="Item"/>
    <tableColumn id="2" xr3:uid="{AFD9B36A-6483-4732-8F4E-4AF78E68457C}" name="Annual " dataDxfId="3"/>
    <tableColumn id="3" xr3:uid="{A2F88FC2-9131-4C4F-B12D-549412F2ADF6}" name="Monthly" dataDxfId="2">
      <calculatedColumnFormula>B2/12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92F3E-525A-4CF5-A172-CFDF1B1D0639}" name="Tabela42" displayName="Tabela42" ref="A1:D21" totalsRowShown="0">
  <autoFilter ref="A1:D21" xr:uid="{D94D25CD-E406-406C-A65B-8183DB63247A}"/>
  <tableColumns count="4">
    <tableColumn id="1" xr3:uid="{2822876B-7FAF-4F78-B421-C7112A83EA29}" name="Item"/>
    <tableColumn id="4" xr3:uid="{7487322F-BED9-4054-B214-87A11B0896B8}" name="Cenário"/>
    <tableColumn id="2" xr3:uid="{F54238CA-5BA4-4547-BCB9-11301B6C9373}" name="Annual " dataDxfId="1"/>
    <tableColumn id="3" xr3:uid="{BAEC4364-AF9E-4632-97F7-28FB7D9CF956}" name="Monthly" dataDxfId="0">
      <calculatedColumnFormula>C2/12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A78B-4832-41EC-871F-1F4541D209B9}">
  <dimension ref="A1:K225"/>
  <sheetViews>
    <sheetView workbookViewId="0">
      <selection activeCell="R12" sqref="R12"/>
    </sheetView>
  </sheetViews>
  <sheetFormatPr defaultRowHeight="15"/>
  <cols>
    <col min="1" max="1" width="7.140625" bestFit="1" customWidth="1"/>
    <col min="2" max="2" width="10.28515625" bestFit="1" customWidth="1"/>
    <col min="3" max="3" width="18.5703125" bestFit="1" customWidth="1"/>
    <col min="4" max="4" width="21.42578125" bestFit="1" customWidth="1"/>
    <col min="5" max="5" width="16.85546875" style="3" customWidth="1"/>
    <col min="6" max="6" width="5.7109375" customWidth="1"/>
    <col min="7" max="7" width="10.42578125" bestFit="1" customWidth="1"/>
    <col min="8" max="8" width="12.28515625" customWidth="1"/>
    <col min="9" max="9" width="23.28515625" bestFit="1" customWidth="1"/>
    <col min="10" max="10" width="16" bestFit="1" customWidth="1"/>
    <col min="11" max="11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2"/>
    </row>
    <row r="2" spans="1:11">
      <c r="A2">
        <v>2022</v>
      </c>
      <c r="B2" t="s">
        <v>5</v>
      </c>
      <c r="C2" s="5" t="s">
        <v>6</v>
      </c>
      <c r="D2" s="5" t="s">
        <v>7</v>
      </c>
      <c r="E2" s="3">
        <v>509.38</v>
      </c>
      <c r="F2" s="3"/>
      <c r="G2" s="11" t="s">
        <v>0</v>
      </c>
      <c r="H2" s="11" t="s">
        <v>1</v>
      </c>
      <c r="I2" s="11" t="s">
        <v>2</v>
      </c>
      <c r="J2" s="11" t="s">
        <v>3</v>
      </c>
      <c r="K2" t="s">
        <v>8</v>
      </c>
    </row>
    <row r="3" spans="1:11">
      <c r="A3">
        <v>2022</v>
      </c>
      <c r="B3" t="s">
        <v>5</v>
      </c>
      <c r="C3" s="5" t="s">
        <v>6</v>
      </c>
      <c r="D3" s="5" t="s">
        <v>9</v>
      </c>
      <c r="E3" s="3">
        <v>87.2</v>
      </c>
      <c r="F3" s="3"/>
      <c r="G3">
        <v>2022</v>
      </c>
      <c r="H3" t="s">
        <v>5</v>
      </c>
      <c r="K3" s="3">
        <v>1480.8400000000001</v>
      </c>
    </row>
    <row r="4" spans="1:11">
      <c r="A4">
        <v>2022</v>
      </c>
      <c r="B4" t="s">
        <v>5</v>
      </c>
      <c r="C4" s="5" t="s">
        <v>10</v>
      </c>
      <c r="D4" s="5" t="s">
        <v>11</v>
      </c>
      <c r="E4" s="3">
        <v>649.63</v>
      </c>
      <c r="H4" t="s">
        <v>12</v>
      </c>
      <c r="K4" s="3">
        <v>848.71</v>
      </c>
    </row>
    <row r="5" spans="1:11">
      <c r="A5">
        <v>2022</v>
      </c>
      <c r="B5" t="s">
        <v>5</v>
      </c>
      <c r="C5" s="5" t="s">
        <v>6</v>
      </c>
      <c r="D5" t="s">
        <v>13</v>
      </c>
      <c r="E5" s="3">
        <v>234.63</v>
      </c>
      <c r="H5" t="s">
        <v>14</v>
      </c>
      <c r="K5" s="3">
        <v>824.88</v>
      </c>
    </row>
    <row r="6" spans="1:11">
      <c r="A6">
        <v>2022</v>
      </c>
      <c r="B6" t="s">
        <v>12</v>
      </c>
      <c r="C6" s="5" t="s">
        <v>6</v>
      </c>
      <c r="D6" s="5" t="s">
        <v>7</v>
      </c>
      <c r="E6" s="3">
        <v>509.38</v>
      </c>
      <c r="H6" t="s">
        <v>15</v>
      </c>
      <c r="K6" s="3">
        <v>896.03000000000009</v>
      </c>
    </row>
    <row r="7" spans="1:11">
      <c r="A7">
        <v>2022</v>
      </c>
      <c r="B7" t="s">
        <v>12</v>
      </c>
      <c r="C7" s="5" t="s">
        <v>6</v>
      </c>
      <c r="D7" s="5" t="s">
        <v>9</v>
      </c>
      <c r="E7" s="3">
        <v>87.2</v>
      </c>
      <c r="H7" t="s">
        <v>16</v>
      </c>
      <c r="K7" s="3">
        <v>1394.68</v>
      </c>
    </row>
    <row r="8" spans="1:11">
      <c r="A8">
        <v>2022</v>
      </c>
      <c r="B8" t="s">
        <v>12</v>
      </c>
      <c r="C8" s="5" t="s">
        <v>10</v>
      </c>
      <c r="D8" s="5" t="s">
        <v>11</v>
      </c>
      <c r="E8" s="3">
        <v>252.13</v>
      </c>
      <c r="H8" t="s">
        <v>17</v>
      </c>
      <c r="K8" s="3">
        <v>1451.68</v>
      </c>
    </row>
    <row r="9" spans="1:11">
      <c r="A9">
        <v>2022</v>
      </c>
      <c r="B9" t="s">
        <v>14</v>
      </c>
      <c r="C9" s="5" t="s">
        <v>6</v>
      </c>
      <c r="D9" s="5" t="s">
        <v>7</v>
      </c>
      <c r="E9" s="3">
        <v>509.68</v>
      </c>
      <c r="H9" t="s">
        <v>18</v>
      </c>
      <c r="K9" s="3">
        <v>1324.77</v>
      </c>
    </row>
    <row r="10" spans="1:11">
      <c r="A10">
        <v>2022</v>
      </c>
      <c r="B10" t="s">
        <v>14</v>
      </c>
      <c r="C10" s="5" t="s">
        <v>6</v>
      </c>
      <c r="D10" s="5" t="s">
        <v>9</v>
      </c>
      <c r="E10" s="3">
        <v>87.2</v>
      </c>
      <c r="H10" t="s">
        <v>19</v>
      </c>
      <c r="K10" s="3">
        <v>1045</v>
      </c>
    </row>
    <row r="11" spans="1:11">
      <c r="A11">
        <v>2022</v>
      </c>
      <c r="B11" t="s">
        <v>14</v>
      </c>
      <c r="C11" s="5" t="s">
        <v>10</v>
      </c>
      <c r="D11" s="5" t="s">
        <v>11</v>
      </c>
      <c r="E11" s="3">
        <v>228</v>
      </c>
      <c r="G11" t="s">
        <v>20</v>
      </c>
      <c r="K11" s="3">
        <v>9266.59</v>
      </c>
    </row>
    <row r="12" spans="1:11">
      <c r="A12">
        <v>2022</v>
      </c>
      <c r="B12" t="s">
        <v>15</v>
      </c>
      <c r="C12" s="5" t="s">
        <v>6</v>
      </c>
      <c r="D12" s="5" t="s">
        <v>7</v>
      </c>
      <c r="E12" s="3">
        <v>509.38</v>
      </c>
      <c r="G12">
        <v>2023</v>
      </c>
      <c r="H12" t="s">
        <v>21</v>
      </c>
      <c r="K12" s="3">
        <v>849.45</v>
      </c>
    </row>
    <row r="13" spans="1:11">
      <c r="A13">
        <v>2022</v>
      </c>
      <c r="B13" t="s">
        <v>15</v>
      </c>
      <c r="C13" s="5" t="s">
        <v>6</v>
      </c>
      <c r="D13" s="5" t="s">
        <v>9</v>
      </c>
      <c r="E13" s="3">
        <v>87.2</v>
      </c>
      <c r="H13" t="s">
        <v>22</v>
      </c>
      <c r="K13" s="3">
        <v>593.54999999999995</v>
      </c>
    </row>
    <row r="14" spans="1:11">
      <c r="A14">
        <v>2022</v>
      </c>
      <c r="B14" t="s">
        <v>15</v>
      </c>
      <c r="C14" s="5" t="s">
        <v>23</v>
      </c>
      <c r="D14" s="5" t="s">
        <v>24</v>
      </c>
      <c r="E14" s="3">
        <v>200</v>
      </c>
      <c r="H14" t="s">
        <v>25</v>
      </c>
      <c r="K14" s="3">
        <v>903.11</v>
      </c>
    </row>
    <row r="15" spans="1:11">
      <c r="A15">
        <v>2022</v>
      </c>
      <c r="B15" t="s">
        <v>15</v>
      </c>
      <c r="C15" s="5" t="s">
        <v>10</v>
      </c>
      <c r="D15" s="5" t="s">
        <v>11</v>
      </c>
      <c r="E15" s="3">
        <v>99.45</v>
      </c>
      <c r="H15" t="s">
        <v>26</v>
      </c>
      <c r="K15" s="3">
        <v>775.95</v>
      </c>
    </row>
    <row r="16" spans="1:11">
      <c r="A16">
        <v>2022</v>
      </c>
      <c r="B16" t="s">
        <v>16</v>
      </c>
      <c r="C16" s="5" t="s">
        <v>6</v>
      </c>
      <c r="D16" s="5" t="s">
        <v>7</v>
      </c>
      <c r="E16" s="3">
        <v>509.68</v>
      </c>
      <c r="H16" t="s">
        <v>5</v>
      </c>
      <c r="K16" s="3">
        <v>1163.97</v>
      </c>
    </row>
    <row r="17" spans="1:11">
      <c r="A17">
        <v>2022</v>
      </c>
      <c r="B17" t="s">
        <v>16</v>
      </c>
      <c r="C17" s="5" t="s">
        <v>23</v>
      </c>
      <c r="D17" s="5" t="s">
        <v>24</v>
      </c>
      <c r="E17" s="3">
        <v>785</v>
      </c>
      <c r="H17" t="s">
        <v>12</v>
      </c>
      <c r="K17" s="3">
        <v>1155.28</v>
      </c>
    </row>
    <row r="18" spans="1:11">
      <c r="A18">
        <v>2022</v>
      </c>
      <c r="B18" t="s">
        <v>16</v>
      </c>
      <c r="C18" s="5" t="s">
        <v>10</v>
      </c>
      <c r="D18" s="5" t="s">
        <v>11</v>
      </c>
      <c r="E18" s="3">
        <v>100</v>
      </c>
      <c r="H18" t="s">
        <v>14</v>
      </c>
      <c r="K18" s="3">
        <v>974.07</v>
      </c>
    </row>
    <row r="19" spans="1:11">
      <c r="A19">
        <v>2022</v>
      </c>
      <c r="B19" t="s">
        <v>17</v>
      </c>
      <c r="C19" s="5" t="s">
        <v>6</v>
      </c>
      <c r="D19" s="5" t="s">
        <v>7</v>
      </c>
      <c r="E19" s="3">
        <v>509.68</v>
      </c>
      <c r="H19" t="s">
        <v>15</v>
      </c>
      <c r="K19" s="3">
        <v>1731</v>
      </c>
    </row>
    <row r="20" spans="1:11">
      <c r="A20">
        <v>2022</v>
      </c>
      <c r="B20" t="s">
        <v>17</v>
      </c>
      <c r="C20" s="5" t="s">
        <v>23</v>
      </c>
      <c r="D20" s="5" t="s">
        <v>24</v>
      </c>
      <c r="E20" s="3">
        <v>217</v>
      </c>
      <c r="H20" t="s">
        <v>16</v>
      </c>
      <c r="K20" s="3">
        <v>1058.08</v>
      </c>
    </row>
    <row r="21" spans="1:11">
      <c r="A21">
        <v>2022</v>
      </c>
      <c r="B21" t="s">
        <v>17</v>
      </c>
      <c r="C21" s="5" t="s">
        <v>6</v>
      </c>
      <c r="D21" s="5" t="s">
        <v>13</v>
      </c>
      <c r="E21" s="3">
        <v>125</v>
      </c>
      <c r="H21" t="s">
        <v>17</v>
      </c>
      <c r="K21" s="3">
        <v>1762</v>
      </c>
    </row>
    <row r="22" spans="1:11">
      <c r="A22">
        <v>2022</v>
      </c>
      <c r="B22" t="s">
        <v>17</v>
      </c>
      <c r="C22" s="5" t="s">
        <v>10</v>
      </c>
      <c r="D22" s="5" t="s">
        <v>11</v>
      </c>
      <c r="E22" s="3">
        <v>600</v>
      </c>
      <c r="H22" t="s">
        <v>18</v>
      </c>
      <c r="K22" s="3">
        <v>2248.2599999999998</v>
      </c>
    </row>
    <row r="23" spans="1:11">
      <c r="A23">
        <v>2022</v>
      </c>
      <c r="B23" t="s">
        <v>19</v>
      </c>
      <c r="C23" s="5" t="s">
        <v>23</v>
      </c>
      <c r="D23" s="5" t="s">
        <v>24</v>
      </c>
      <c r="E23" s="3">
        <v>845</v>
      </c>
      <c r="H23" t="s">
        <v>19</v>
      </c>
      <c r="K23" s="3">
        <v>2234.81</v>
      </c>
    </row>
    <row r="24" spans="1:11">
      <c r="A24">
        <v>2022</v>
      </c>
      <c r="B24" t="s">
        <v>19</v>
      </c>
      <c r="C24" s="5" t="s">
        <v>10</v>
      </c>
      <c r="D24" s="5" t="s">
        <v>27</v>
      </c>
      <c r="E24" s="3">
        <v>200</v>
      </c>
      <c r="G24" t="s">
        <v>28</v>
      </c>
      <c r="K24" s="3">
        <v>15449.529999999999</v>
      </c>
    </row>
    <row r="25" spans="1:11">
      <c r="A25">
        <v>2022</v>
      </c>
      <c r="B25" t="s">
        <v>18</v>
      </c>
      <c r="C25" s="5" t="s">
        <v>23</v>
      </c>
      <c r="D25" s="5" t="s">
        <v>24</v>
      </c>
      <c r="E25" s="3">
        <v>815</v>
      </c>
      <c r="G25">
        <v>2024</v>
      </c>
      <c r="H25" t="s">
        <v>21</v>
      </c>
      <c r="K25" s="3">
        <v>2009.56</v>
      </c>
    </row>
    <row r="26" spans="1:11">
      <c r="A26">
        <v>2022</v>
      </c>
      <c r="B26" t="s">
        <v>18</v>
      </c>
      <c r="C26" s="5" t="s">
        <v>10</v>
      </c>
      <c r="D26" s="5" t="s">
        <v>27</v>
      </c>
      <c r="E26" s="3">
        <v>200</v>
      </c>
      <c r="H26" t="s">
        <v>22</v>
      </c>
      <c r="K26" s="3">
        <v>2404.58</v>
      </c>
    </row>
    <row r="27" spans="1:11">
      <c r="A27">
        <v>2022</v>
      </c>
      <c r="B27" t="s">
        <v>18</v>
      </c>
      <c r="C27" s="5" t="s">
        <v>10</v>
      </c>
      <c r="D27" s="5" t="s">
        <v>29</v>
      </c>
      <c r="E27" s="3">
        <v>100</v>
      </c>
      <c r="H27" t="s">
        <v>25</v>
      </c>
      <c r="K27" s="3">
        <v>1332.52</v>
      </c>
    </row>
    <row r="28" spans="1:11">
      <c r="A28">
        <v>2022</v>
      </c>
      <c r="B28" t="s">
        <v>18</v>
      </c>
      <c r="C28" s="5" t="s">
        <v>10</v>
      </c>
      <c r="D28" s="5" t="s">
        <v>11</v>
      </c>
      <c r="E28" s="3">
        <v>209.77</v>
      </c>
      <c r="H28" t="s">
        <v>26</v>
      </c>
      <c r="K28" s="3">
        <v>1130</v>
      </c>
    </row>
    <row r="29" spans="1:11">
      <c r="A29">
        <v>2023</v>
      </c>
      <c r="B29" t="s">
        <v>21</v>
      </c>
      <c r="C29" s="5" t="s">
        <v>23</v>
      </c>
      <c r="D29" s="5" t="s">
        <v>24</v>
      </c>
      <c r="E29" s="3">
        <v>649.45000000000005</v>
      </c>
      <c r="H29" t="s">
        <v>5</v>
      </c>
      <c r="K29" s="3">
        <v>900</v>
      </c>
    </row>
    <row r="30" spans="1:11">
      <c r="A30">
        <v>2023</v>
      </c>
      <c r="B30" t="s">
        <v>21</v>
      </c>
      <c r="C30" s="5" t="s">
        <v>10</v>
      </c>
      <c r="D30" s="5" t="s">
        <v>27</v>
      </c>
      <c r="E30" s="3">
        <v>200</v>
      </c>
      <c r="H30" t="s">
        <v>12</v>
      </c>
      <c r="K30" s="3">
        <v>1099</v>
      </c>
    </row>
    <row r="31" spans="1:11">
      <c r="A31">
        <v>2023</v>
      </c>
      <c r="B31" t="s">
        <v>22</v>
      </c>
      <c r="C31" s="5" t="s">
        <v>23</v>
      </c>
      <c r="D31" s="5" t="s">
        <v>24</v>
      </c>
      <c r="E31" s="3">
        <v>593.54999999999995</v>
      </c>
      <c r="H31" t="s">
        <v>14</v>
      </c>
      <c r="K31" s="3">
        <v>1170.9000000000001</v>
      </c>
    </row>
    <row r="32" spans="1:11">
      <c r="A32">
        <v>2023</v>
      </c>
      <c r="B32" t="s">
        <v>25</v>
      </c>
      <c r="C32" s="5" t="s">
        <v>23</v>
      </c>
      <c r="D32" s="5" t="s">
        <v>24</v>
      </c>
      <c r="E32" s="3">
        <v>673.11</v>
      </c>
      <c r="H32" t="s">
        <v>15</v>
      </c>
      <c r="K32" s="3">
        <v>1482.51</v>
      </c>
    </row>
    <row r="33" spans="1:11">
      <c r="A33">
        <v>2023</v>
      </c>
      <c r="B33" t="s">
        <v>25</v>
      </c>
      <c r="C33" s="5" t="s">
        <v>10</v>
      </c>
      <c r="D33" s="5" t="s">
        <v>27</v>
      </c>
      <c r="E33" s="3">
        <v>200</v>
      </c>
      <c r="H33" t="s">
        <v>16</v>
      </c>
      <c r="K33" s="3">
        <v>643.5</v>
      </c>
    </row>
    <row r="34" spans="1:11">
      <c r="A34">
        <v>2023</v>
      </c>
      <c r="B34" t="s">
        <v>25</v>
      </c>
      <c r="C34" s="5" t="s">
        <v>10</v>
      </c>
      <c r="D34" s="5" t="s">
        <v>29</v>
      </c>
      <c r="E34" s="3">
        <v>30</v>
      </c>
      <c r="H34" t="s">
        <v>17</v>
      </c>
      <c r="K34" s="3">
        <v>1298.5</v>
      </c>
    </row>
    <row r="35" spans="1:11">
      <c r="A35">
        <v>2023</v>
      </c>
      <c r="B35" t="s">
        <v>26</v>
      </c>
      <c r="C35" s="5" t="s">
        <v>23</v>
      </c>
      <c r="D35" s="5" t="s">
        <v>24</v>
      </c>
      <c r="E35" s="3">
        <v>625.95000000000005</v>
      </c>
      <c r="H35" t="s">
        <v>30</v>
      </c>
      <c r="K35" s="3">
        <v>1589</v>
      </c>
    </row>
    <row r="36" spans="1:11">
      <c r="A36">
        <v>2023</v>
      </c>
      <c r="B36" t="s">
        <v>26</v>
      </c>
      <c r="C36" s="5" t="s">
        <v>10</v>
      </c>
      <c r="D36" s="5" t="s">
        <v>11</v>
      </c>
      <c r="E36" s="3">
        <v>150</v>
      </c>
      <c r="H36" t="s">
        <v>18</v>
      </c>
      <c r="K36" s="3">
        <v>2649</v>
      </c>
    </row>
    <row r="37" spans="1:11">
      <c r="A37">
        <v>2023</v>
      </c>
      <c r="B37" t="s">
        <v>5</v>
      </c>
      <c r="C37" s="5" t="s">
        <v>23</v>
      </c>
      <c r="D37" s="5" t="s">
        <v>24</v>
      </c>
      <c r="E37" s="3">
        <v>579.22</v>
      </c>
      <c r="G37" t="s">
        <v>31</v>
      </c>
      <c r="K37" s="3">
        <v>17709.07</v>
      </c>
    </row>
    <row r="38" spans="1:11">
      <c r="A38">
        <v>2023</v>
      </c>
      <c r="B38" t="s">
        <v>5</v>
      </c>
      <c r="C38" s="5" t="s">
        <v>23</v>
      </c>
      <c r="D38" s="5" t="s">
        <v>24</v>
      </c>
      <c r="E38" s="3">
        <v>341.76</v>
      </c>
      <c r="G38">
        <v>2025</v>
      </c>
      <c r="H38" t="s">
        <v>21</v>
      </c>
      <c r="K38" s="3">
        <v>1806.02</v>
      </c>
    </row>
    <row r="39" spans="1:11">
      <c r="A39">
        <v>2023</v>
      </c>
      <c r="B39" t="s">
        <v>5</v>
      </c>
      <c r="C39" s="5" t="s">
        <v>10</v>
      </c>
      <c r="D39" s="5" t="s">
        <v>11</v>
      </c>
      <c r="E39" s="3">
        <v>242.99</v>
      </c>
      <c r="H39" t="s">
        <v>22</v>
      </c>
      <c r="K39" s="3">
        <v>1814.57</v>
      </c>
    </row>
    <row r="40" spans="1:11">
      <c r="A40">
        <v>2023</v>
      </c>
      <c r="B40" t="s">
        <v>12</v>
      </c>
      <c r="C40" s="5" t="s">
        <v>10</v>
      </c>
      <c r="D40" s="5" t="s">
        <v>11</v>
      </c>
      <c r="E40" s="3">
        <v>955.28</v>
      </c>
      <c r="H40" t="s">
        <v>25</v>
      </c>
      <c r="K40" s="3">
        <v>1411.57</v>
      </c>
    </row>
    <row r="41" spans="1:11">
      <c r="A41">
        <v>2023</v>
      </c>
      <c r="B41" t="s">
        <v>12</v>
      </c>
      <c r="C41" s="5" t="s">
        <v>10</v>
      </c>
      <c r="D41" s="5" t="s">
        <v>27</v>
      </c>
      <c r="E41" s="3">
        <v>200</v>
      </c>
      <c r="H41" t="s">
        <v>26</v>
      </c>
      <c r="K41" s="3">
        <v>2301</v>
      </c>
    </row>
    <row r="42" spans="1:11">
      <c r="A42">
        <v>2023</v>
      </c>
      <c r="B42" t="s">
        <v>14</v>
      </c>
      <c r="C42" s="5" t="s">
        <v>10</v>
      </c>
      <c r="D42" s="5" t="s">
        <v>11</v>
      </c>
      <c r="E42" s="3">
        <v>774.07</v>
      </c>
      <c r="H42" t="s">
        <v>5</v>
      </c>
      <c r="K42" s="3">
        <v>1875.21</v>
      </c>
    </row>
    <row r="43" spans="1:11">
      <c r="A43">
        <v>2023</v>
      </c>
      <c r="B43" t="s">
        <v>14</v>
      </c>
      <c r="C43" s="5" t="s">
        <v>10</v>
      </c>
      <c r="D43" s="5" t="s">
        <v>27</v>
      </c>
      <c r="E43" s="3">
        <v>200</v>
      </c>
      <c r="H43" t="s">
        <v>12</v>
      </c>
      <c r="K43" s="3">
        <v>1493.92</v>
      </c>
    </row>
    <row r="44" spans="1:11">
      <c r="A44">
        <v>2023</v>
      </c>
      <c r="B44" t="s">
        <v>15</v>
      </c>
      <c r="C44" s="5" t="s">
        <v>10</v>
      </c>
      <c r="D44" s="5" t="s">
        <v>27</v>
      </c>
      <c r="E44" s="3">
        <v>1200</v>
      </c>
      <c r="H44" t="s">
        <v>14</v>
      </c>
      <c r="K44" s="3">
        <v>2029.26</v>
      </c>
    </row>
    <row r="45" spans="1:11">
      <c r="A45">
        <v>2023</v>
      </c>
      <c r="B45" t="s">
        <v>15</v>
      </c>
      <c r="C45" s="5" t="s">
        <v>10</v>
      </c>
      <c r="D45" s="5" t="s">
        <v>11</v>
      </c>
      <c r="E45" s="3">
        <v>307.5</v>
      </c>
      <c r="H45" t="s">
        <v>15</v>
      </c>
      <c r="K45" s="3">
        <v>1693</v>
      </c>
    </row>
    <row r="46" spans="1:11">
      <c r="A46">
        <v>2023</v>
      </c>
      <c r="B46" t="s">
        <v>15</v>
      </c>
      <c r="C46" s="5" t="s">
        <v>10</v>
      </c>
      <c r="D46" s="5" t="s">
        <v>11</v>
      </c>
      <c r="E46" s="3">
        <v>223.5</v>
      </c>
      <c r="H46" t="s">
        <v>16</v>
      </c>
      <c r="K46" s="3">
        <v>1705</v>
      </c>
    </row>
    <row r="47" spans="1:11">
      <c r="A47">
        <v>2023</v>
      </c>
      <c r="B47" t="s">
        <v>16</v>
      </c>
      <c r="C47" s="5" t="s">
        <v>10</v>
      </c>
      <c r="D47" s="5" t="s">
        <v>11</v>
      </c>
      <c r="E47" s="3">
        <v>1058.08</v>
      </c>
      <c r="H47" t="s">
        <v>17</v>
      </c>
      <c r="K47" s="3">
        <v>2068</v>
      </c>
    </row>
    <row r="48" spans="1:11">
      <c r="A48">
        <v>2023</v>
      </c>
      <c r="B48" t="s">
        <v>17</v>
      </c>
      <c r="C48" s="5" t="s">
        <v>23</v>
      </c>
      <c r="D48" s="5" t="s">
        <v>32</v>
      </c>
      <c r="E48" s="3">
        <v>440.5</v>
      </c>
      <c r="H48" t="s">
        <v>30</v>
      </c>
      <c r="K48" s="3">
        <v>1857</v>
      </c>
    </row>
    <row r="49" spans="1:11">
      <c r="A49">
        <v>2023</v>
      </c>
      <c r="B49" t="s">
        <v>17</v>
      </c>
      <c r="C49" s="5" t="s">
        <v>23</v>
      </c>
      <c r="D49" s="5" t="s">
        <v>32</v>
      </c>
      <c r="E49" s="3">
        <v>440.5</v>
      </c>
      <c r="H49" t="s">
        <v>18</v>
      </c>
      <c r="K49" s="3">
        <v>2905.6000000000004</v>
      </c>
    </row>
    <row r="50" spans="1:11">
      <c r="A50">
        <v>2023</v>
      </c>
      <c r="B50" t="s">
        <v>17</v>
      </c>
      <c r="C50" s="5" t="s">
        <v>23</v>
      </c>
      <c r="D50" s="5" t="s">
        <v>32</v>
      </c>
      <c r="E50" s="3">
        <v>440.5</v>
      </c>
      <c r="G50" t="s">
        <v>33</v>
      </c>
      <c r="K50" s="3">
        <v>22960.15</v>
      </c>
    </row>
    <row r="51" spans="1:11">
      <c r="A51">
        <v>2023</v>
      </c>
      <c r="B51" t="s">
        <v>17</v>
      </c>
      <c r="C51" s="5" t="s">
        <v>23</v>
      </c>
      <c r="D51" s="5" t="s">
        <v>32</v>
      </c>
      <c r="E51" s="3">
        <v>440.5</v>
      </c>
      <c r="G51">
        <v>2026</v>
      </c>
      <c r="H51" t="s">
        <v>25</v>
      </c>
      <c r="K51" s="3">
        <v>2416.06</v>
      </c>
    </row>
    <row r="52" spans="1:11" ht="15.75">
      <c r="A52">
        <v>2023</v>
      </c>
      <c r="B52" t="s">
        <v>19</v>
      </c>
      <c r="C52" s="5" t="s">
        <v>23</v>
      </c>
      <c r="D52" s="5" t="s">
        <v>32</v>
      </c>
      <c r="E52" s="6">
        <v>440.5</v>
      </c>
      <c r="H52" t="s">
        <v>26</v>
      </c>
      <c r="K52" s="3">
        <v>2481.9700000000003</v>
      </c>
    </row>
    <row r="53" spans="1:11" ht="15.75">
      <c r="A53">
        <v>2023</v>
      </c>
      <c r="B53" t="s">
        <v>19</v>
      </c>
      <c r="C53" s="5" t="s">
        <v>23</v>
      </c>
      <c r="D53" s="5" t="s">
        <v>32</v>
      </c>
      <c r="E53" s="6">
        <v>440.5</v>
      </c>
      <c r="H53" t="s">
        <v>5</v>
      </c>
      <c r="K53" s="3">
        <v>1991.79</v>
      </c>
    </row>
    <row r="54" spans="1:11" ht="15.75">
      <c r="A54">
        <v>2023</v>
      </c>
      <c r="B54" t="s">
        <v>19</v>
      </c>
      <c r="C54" s="5" t="s">
        <v>23</v>
      </c>
      <c r="D54" s="5" t="s">
        <v>32</v>
      </c>
      <c r="E54" s="6">
        <v>440.49</v>
      </c>
      <c r="H54" t="s">
        <v>12</v>
      </c>
      <c r="K54" s="3">
        <v>2059.4900000000002</v>
      </c>
    </row>
    <row r="55" spans="1:11" ht="15.75">
      <c r="A55">
        <v>2023</v>
      </c>
      <c r="B55" t="s">
        <v>19</v>
      </c>
      <c r="C55" s="5" t="s">
        <v>23</v>
      </c>
      <c r="D55" s="5" t="s">
        <v>32</v>
      </c>
      <c r="E55" s="6">
        <v>484.54</v>
      </c>
      <c r="H55" t="s">
        <v>34</v>
      </c>
      <c r="K55" s="3">
        <v>1992.42</v>
      </c>
    </row>
    <row r="56" spans="1:11" ht="15.75">
      <c r="A56">
        <v>2023</v>
      </c>
      <c r="B56" t="s">
        <v>19</v>
      </c>
      <c r="C56" s="5" t="s">
        <v>23</v>
      </c>
      <c r="D56" s="5" t="s">
        <v>32</v>
      </c>
      <c r="E56" s="6">
        <v>428.78</v>
      </c>
      <c r="H56" t="s">
        <v>35</v>
      </c>
      <c r="K56" s="3">
        <v>2006.9</v>
      </c>
    </row>
    <row r="57" spans="1:11" ht="15.75">
      <c r="A57">
        <v>2023</v>
      </c>
      <c r="B57" t="s">
        <v>18</v>
      </c>
      <c r="C57" s="5" t="s">
        <v>23</v>
      </c>
      <c r="D57" s="5" t="s">
        <v>32</v>
      </c>
      <c r="E57" s="6">
        <v>523.94000000000005</v>
      </c>
      <c r="G57" t="s">
        <v>36</v>
      </c>
      <c r="K57" s="3">
        <v>12948.630000000001</v>
      </c>
    </row>
    <row r="58" spans="1:11" ht="15.75">
      <c r="A58">
        <v>2023</v>
      </c>
      <c r="B58" t="s">
        <v>18</v>
      </c>
      <c r="C58" s="5" t="s">
        <v>23</v>
      </c>
      <c r="D58" s="5" t="s">
        <v>32</v>
      </c>
      <c r="E58" s="6">
        <v>624.08000000000004</v>
      </c>
      <c r="G58" t="s">
        <v>37</v>
      </c>
      <c r="K58" s="3">
        <v>78333.969999999987</v>
      </c>
    </row>
    <row r="59" spans="1:11" ht="15.75">
      <c r="A59">
        <v>2023</v>
      </c>
      <c r="B59" t="s">
        <v>18</v>
      </c>
      <c r="C59" s="5" t="s">
        <v>23</v>
      </c>
      <c r="D59" s="5" t="s">
        <v>32</v>
      </c>
      <c r="E59" s="6">
        <v>476.31</v>
      </c>
    </row>
    <row r="60" spans="1:11" ht="15.75">
      <c r="A60">
        <v>2023</v>
      </c>
      <c r="B60" t="s">
        <v>18</v>
      </c>
      <c r="C60" s="5" t="s">
        <v>23</v>
      </c>
      <c r="D60" s="5" t="s">
        <v>32</v>
      </c>
      <c r="E60" s="6">
        <v>523.92999999999995</v>
      </c>
    </row>
    <row r="61" spans="1:11">
      <c r="A61">
        <v>2023</v>
      </c>
      <c r="B61" t="s">
        <v>18</v>
      </c>
      <c r="C61" s="5" t="s">
        <v>10</v>
      </c>
      <c r="D61" s="5" t="s">
        <v>29</v>
      </c>
      <c r="E61" s="3">
        <v>100</v>
      </c>
    </row>
    <row r="62" spans="1:11" ht="15.75">
      <c r="A62">
        <v>2024</v>
      </c>
      <c r="B62" t="s">
        <v>21</v>
      </c>
      <c r="C62" s="5" t="s">
        <v>23</v>
      </c>
      <c r="D62" s="5" t="s">
        <v>32</v>
      </c>
      <c r="E62" s="6">
        <v>591.55999999999995</v>
      </c>
    </row>
    <row r="63" spans="1:11" ht="15.75">
      <c r="A63">
        <v>2024</v>
      </c>
      <c r="B63" t="s">
        <v>21</v>
      </c>
      <c r="C63" s="5" t="s">
        <v>23</v>
      </c>
      <c r="D63" s="5" t="s">
        <v>32</v>
      </c>
      <c r="E63" s="6">
        <v>448</v>
      </c>
    </row>
    <row r="64" spans="1:11" ht="15.75">
      <c r="A64">
        <v>2024</v>
      </c>
      <c r="B64" t="s">
        <v>21</v>
      </c>
      <c r="C64" s="5" t="s">
        <v>23</v>
      </c>
      <c r="D64" s="5" t="s">
        <v>32</v>
      </c>
      <c r="E64" s="6">
        <v>480.5</v>
      </c>
    </row>
    <row r="65" spans="1:5" ht="15.75">
      <c r="A65">
        <v>2024</v>
      </c>
      <c r="B65" t="s">
        <v>21</v>
      </c>
      <c r="C65" s="5" t="s">
        <v>23</v>
      </c>
      <c r="D65" s="5" t="s">
        <v>32</v>
      </c>
      <c r="E65" s="6">
        <v>489.5</v>
      </c>
    </row>
    <row r="66" spans="1:5" ht="15.75">
      <c r="A66">
        <v>2024</v>
      </c>
      <c r="B66" t="s">
        <v>22</v>
      </c>
      <c r="C66" s="5" t="s">
        <v>23</v>
      </c>
      <c r="D66" s="5" t="s">
        <v>32</v>
      </c>
      <c r="E66" s="6">
        <v>480</v>
      </c>
    </row>
    <row r="67" spans="1:5" ht="15.75">
      <c r="A67">
        <v>2024</v>
      </c>
      <c r="B67" t="s">
        <v>22</v>
      </c>
      <c r="C67" s="5" t="s">
        <v>23</v>
      </c>
      <c r="D67" s="5" t="s">
        <v>32</v>
      </c>
      <c r="E67" s="6">
        <v>480.49</v>
      </c>
    </row>
    <row r="68" spans="1:5" ht="15.75">
      <c r="A68">
        <v>2024</v>
      </c>
      <c r="B68" t="s">
        <v>22</v>
      </c>
      <c r="C68" s="5" t="s">
        <v>23</v>
      </c>
      <c r="D68" s="5" t="s">
        <v>32</v>
      </c>
      <c r="E68" s="6">
        <v>486.59</v>
      </c>
    </row>
    <row r="69" spans="1:5" ht="15.75">
      <c r="A69">
        <v>2024</v>
      </c>
      <c r="B69" t="s">
        <v>22</v>
      </c>
      <c r="C69" s="5" t="s">
        <v>23</v>
      </c>
      <c r="D69" s="5" t="s">
        <v>32</v>
      </c>
      <c r="E69" s="6">
        <v>480.5</v>
      </c>
    </row>
    <row r="70" spans="1:5" ht="15.75">
      <c r="A70">
        <v>2024</v>
      </c>
      <c r="B70" t="s">
        <v>22</v>
      </c>
      <c r="C70" s="5" t="s">
        <v>23</v>
      </c>
      <c r="D70" s="5" t="s">
        <v>32</v>
      </c>
      <c r="E70" s="6">
        <v>477</v>
      </c>
    </row>
    <row r="71" spans="1:5" ht="15.75">
      <c r="A71">
        <v>2024</v>
      </c>
      <c r="B71" t="s">
        <v>25</v>
      </c>
      <c r="C71" s="5" t="s">
        <v>23</v>
      </c>
      <c r="D71" s="5" t="s">
        <v>32</v>
      </c>
      <c r="E71" s="6">
        <v>477</v>
      </c>
    </row>
    <row r="72" spans="1:5" ht="15.75">
      <c r="A72">
        <v>2024</v>
      </c>
      <c r="B72" t="s">
        <v>25</v>
      </c>
      <c r="C72" s="5" t="s">
        <v>23</v>
      </c>
      <c r="D72" s="5" t="s">
        <v>32</v>
      </c>
      <c r="E72" s="6">
        <v>480.52</v>
      </c>
    </row>
    <row r="73" spans="1:5" ht="15.75">
      <c r="A73">
        <v>2024</v>
      </c>
      <c r="B73" t="s">
        <v>25</v>
      </c>
      <c r="C73" s="5" t="s">
        <v>23</v>
      </c>
      <c r="D73" s="5" t="s">
        <v>32</v>
      </c>
      <c r="E73" s="6">
        <v>375</v>
      </c>
    </row>
    <row r="74" spans="1:5">
      <c r="A74">
        <v>2024</v>
      </c>
      <c r="B74" t="s">
        <v>26</v>
      </c>
      <c r="C74" s="5" t="s">
        <v>10</v>
      </c>
      <c r="D74" s="5" t="s">
        <v>11</v>
      </c>
      <c r="E74" s="3">
        <v>1100</v>
      </c>
    </row>
    <row r="75" spans="1:5">
      <c r="A75">
        <v>2024</v>
      </c>
      <c r="B75" t="s">
        <v>26</v>
      </c>
      <c r="C75" s="5" t="s">
        <v>10</v>
      </c>
      <c r="D75" s="5" t="s">
        <v>29</v>
      </c>
      <c r="E75" s="3">
        <v>30</v>
      </c>
    </row>
    <row r="76" spans="1:5">
      <c r="A76">
        <v>2024</v>
      </c>
      <c r="B76" t="s">
        <v>5</v>
      </c>
      <c r="C76" s="5" t="s">
        <v>10</v>
      </c>
      <c r="D76" s="5" t="s">
        <v>11</v>
      </c>
      <c r="E76" s="3">
        <v>900</v>
      </c>
    </row>
    <row r="77" spans="1:5">
      <c r="A77">
        <v>2024</v>
      </c>
      <c r="B77" t="s">
        <v>12</v>
      </c>
      <c r="C77" s="5" t="s">
        <v>10</v>
      </c>
      <c r="D77" s="5" t="s">
        <v>11</v>
      </c>
      <c r="E77" s="3">
        <v>680</v>
      </c>
    </row>
    <row r="78" spans="1:5">
      <c r="A78">
        <v>2024</v>
      </c>
      <c r="B78" t="s">
        <v>12</v>
      </c>
      <c r="C78" s="5" t="s">
        <v>23</v>
      </c>
      <c r="D78" s="5" t="s">
        <v>38</v>
      </c>
      <c r="E78" s="3">
        <v>150</v>
      </c>
    </row>
    <row r="79" spans="1:5">
      <c r="A79">
        <v>2024</v>
      </c>
      <c r="B79" t="s">
        <v>12</v>
      </c>
      <c r="C79" s="5" t="s">
        <v>23</v>
      </c>
      <c r="D79" s="5" t="s">
        <v>38</v>
      </c>
      <c r="E79" s="3">
        <v>162</v>
      </c>
    </row>
    <row r="80" spans="1:5">
      <c r="A80">
        <v>2024</v>
      </c>
      <c r="B80" t="s">
        <v>12</v>
      </c>
      <c r="C80" s="5" t="s">
        <v>23</v>
      </c>
      <c r="D80" s="5" t="s">
        <v>38</v>
      </c>
      <c r="E80" s="3">
        <v>107</v>
      </c>
    </row>
    <row r="81" spans="1:5">
      <c r="A81">
        <v>2024</v>
      </c>
      <c r="B81" t="s">
        <v>14</v>
      </c>
      <c r="C81" s="5" t="s">
        <v>23</v>
      </c>
      <c r="D81" s="5" t="s">
        <v>38</v>
      </c>
      <c r="E81" s="3">
        <v>152</v>
      </c>
    </row>
    <row r="82" spans="1:5">
      <c r="A82">
        <v>2024</v>
      </c>
      <c r="B82" t="s">
        <v>14</v>
      </c>
      <c r="C82" s="5" t="s">
        <v>23</v>
      </c>
      <c r="D82" s="5" t="s">
        <v>38</v>
      </c>
      <c r="E82" s="3">
        <v>120.15</v>
      </c>
    </row>
    <row r="83" spans="1:5">
      <c r="A83">
        <v>2024</v>
      </c>
      <c r="B83" t="s">
        <v>14</v>
      </c>
      <c r="C83" s="5" t="s">
        <v>23</v>
      </c>
      <c r="D83" s="5" t="s">
        <v>38</v>
      </c>
      <c r="E83" s="3">
        <v>159</v>
      </c>
    </row>
    <row r="84" spans="1:5">
      <c r="A84">
        <v>2024</v>
      </c>
      <c r="B84" t="s">
        <v>14</v>
      </c>
      <c r="C84" s="5" t="s">
        <v>23</v>
      </c>
      <c r="D84" s="5" t="s">
        <v>38</v>
      </c>
      <c r="E84" s="3">
        <v>161.75</v>
      </c>
    </row>
    <row r="85" spans="1:5">
      <c r="A85">
        <v>2024</v>
      </c>
      <c r="B85" t="s">
        <v>14</v>
      </c>
      <c r="C85" s="5" t="s">
        <v>23</v>
      </c>
      <c r="D85" s="5" t="s">
        <v>39</v>
      </c>
      <c r="E85" s="3">
        <v>52</v>
      </c>
    </row>
    <row r="86" spans="1:5">
      <c r="A86">
        <v>2024</v>
      </c>
      <c r="B86" t="s">
        <v>14</v>
      </c>
      <c r="C86" s="5" t="s">
        <v>23</v>
      </c>
      <c r="D86" s="5" t="s">
        <v>39</v>
      </c>
      <c r="E86" s="3">
        <v>26</v>
      </c>
    </row>
    <row r="87" spans="1:5">
      <c r="A87">
        <v>2024</v>
      </c>
      <c r="B87" t="s">
        <v>14</v>
      </c>
      <c r="C87" s="5" t="s">
        <v>23</v>
      </c>
      <c r="D87" s="5" t="s">
        <v>32</v>
      </c>
      <c r="E87" s="3">
        <v>500</v>
      </c>
    </row>
    <row r="88" spans="1:5">
      <c r="A88">
        <v>2024</v>
      </c>
      <c r="B88" t="s">
        <v>15</v>
      </c>
      <c r="C88" s="5" t="s">
        <v>23</v>
      </c>
      <c r="D88" s="5" t="s">
        <v>38</v>
      </c>
      <c r="E88" s="3">
        <v>175.86</v>
      </c>
    </row>
    <row r="89" spans="1:5">
      <c r="A89">
        <v>2024</v>
      </c>
      <c r="B89" t="s">
        <v>15</v>
      </c>
      <c r="C89" s="5" t="s">
        <v>23</v>
      </c>
      <c r="D89" s="5" t="s">
        <v>38</v>
      </c>
      <c r="E89" s="3">
        <v>302</v>
      </c>
    </row>
    <row r="90" spans="1:5">
      <c r="A90">
        <v>2024</v>
      </c>
      <c r="B90" t="s">
        <v>15</v>
      </c>
      <c r="C90" s="5" t="s">
        <v>23</v>
      </c>
      <c r="D90" s="5" t="s">
        <v>38</v>
      </c>
      <c r="E90" s="3">
        <v>141.15</v>
      </c>
    </row>
    <row r="91" spans="1:5">
      <c r="A91">
        <v>2024</v>
      </c>
      <c r="B91" t="s">
        <v>15</v>
      </c>
      <c r="C91" s="5" t="s">
        <v>23</v>
      </c>
      <c r="D91" s="5" t="s">
        <v>38</v>
      </c>
      <c r="E91" s="3">
        <v>180</v>
      </c>
    </row>
    <row r="92" spans="1:5">
      <c r="A92">
        <v>2024</v>
      </c>
      <c r="B92" t="s">
        <v>15</v>
      </c>
      <c r="C92" s="5" t="s">
        <v>23</v>
      </c>
      <c r="D92" s="5" t="s">
        <v>38</v>
      </c>
      <c r="E92" s="3">
        <v>248</v>
      </c>
    </row>
    <row r="93" spans="1:5">
      <c r="A93">
        <v>2024</v>
      </c>
      <c r="B93" t="s">
        <v>15</v>
      </c>
      <c r="C93" s="5" t="s">
        <v>23</v>
      </c>
      <c r="D93" s="5" t="s">
        <v>39</v>
      </c>
      <c r="E93" s="3">
        <v>78</v>
      </c>
    </row>
    <row r="94" spans="1:5">
      <c r="A94">
        <v>2024</v>
      </c>
      <c r="B94" t="s">
        <v>15</v>
      </c>
      <c r="C94" s="5" t="s">
        <v>23</v>
      </c>
      <c r="D94" s="5" t="s">
        <v>39</v>
      </c>
      <c r="E94" s="3">
        <v>52</v>
      </c>
    </row>
    <row r="95" spans="1:5">
      <c r="A95">
        <v>2024</v>
      </c>
      <c r="B95" t="s">
        <v>15</v>
      </c>
      <c r="C95" s="5" t="s">
        <v>23</v>
      </c>
      <c r="D95" s="5" t="s">
        <v>39</v>
      </c>
      <c r="E95" s="3">
        <v>130</v>
      </c>
    </row>
    <row r="96" spans="1:5">
      <c r="A96">
        <v>2024</v>
      </c>
      <c r="B96" t="s">
        <v>15</v>
      </c>
      <c r="C96" s="5" t="s">
        <v>23</v>
      </c>
      <c r="D96" s="5" t="s">
        <v>39</v>
      </c>
      <c r="E96" s="3">
        <v>175.5</v>
      </c>
    </row>
    <row r="97" spans="1:5">
      <c r="A97">
        <v>2024</v>
      </c>
      <c r="B97" t="s">
        <v>16</v>
      </c>
      <c r="C97" s="5" t="s">
        <v>23</v>
      </c>
      <c r="D97" s="5" t="s">
        <v>38</v>
      </c>
      <c r="E97" s="3">
        <v>122</v>
      </c>
    </row>
    <row r="98" spans="1:5">
      <c r="A98">
        <v>2024</v>
      </c>
      <c r="B98" t="s">
        <v>16</v>
      </c>
      <c r="C98" s="5" t="s">
        <v>23</v>
      </c>
      <c r="D98" s="5" t="s">
        <v>38</v>
      </c>
      <c r="E98" s="3">
        <v>227</v>
      </c>
    </row>
    <row r="99" spans="1:5">
      <c r="A99">
        <v>2024</v>
      </c>
      <c r="B99" t="s">
        <v>16</v>
      </c>
      <c r="C99" s="5" t="s">
        <v>23</v>
      </c>
      <c r="D99" s="5" t="s">
        <v>38</v>
      </c>
      <c r="E99" s="3">
        <v>76</v>
      </c>
    </row>
    <row r="100" spans="1:5">
      <c r="A100">
        <v>2024</v>
      </c>
      <c r="B100" t="s">
        <v>16</v>
      </c>
      <c r="C100" s="5" t="s">
        <v>23</v>
      </c>
      <c r="D100" s="5" t="s">
        <v>39</v>
      </c>
      <c r="E100" s="3">
        <v>97.5</v>
      </c>
    </row>
    <row r="101" spans="1:5">
      <c r="A101">
        <v>2024</v>
      </c>
      <c r="B101" t="s">
        <v>16</v>
      </c>
      <c r="C101" s="5" t="s">
        <v>23</v>
      </c>
      <c r="D101" s="5" t="s">
        <v>39</v>
      </c>
      <c r="E101" s="3">
        <v>121</v>
      </c>
    </row>
    <row r="102" spans="1:5">
      <c r="A102">
        <v>2024</v>
      </c>
      <c r="B102" t="s">
        <v>17</v>
      </c>
      <c r="C102" s="5" t="s">
        <v>23</v>
      </c>
      <c r="D102" s="5" t="s">
        <v>38</v>
      </c>
      <c r="E102" s="3">
        <v>180</v>
      </c>
    </row>
    <row r="103" spans="1:5">
      <c r="A103">
        <v>2024</v>
      </c>
      <c r="B103" t="s">
        <v>17</v>
      </c>
      <c r="C103" s="5" t="s">
        <v>23</v>
      </c>
      <c r="D103" s="5" t="s">
        <v>38</v>
      </c>
      <c r="E103" s="3">
        <v>219</v>
      </c>
    </row>
    <row r="104" spans="1:5">
      <c r="A104">
        <v>2024</v>
      </c>
      <c r="B104" t="s">
        <v>17</v>
      </c>
      <c r="C104" s="5" t="s">
        <v>23</v>
      </c>
      <c r="D104" s="5" t="s">
        <v>38</v>
      </c>
      <c r="E104" s="3">
        <v>226</v>
      </c>
    </row>
    <row r="105" spans="1:5">
      <c r="A105">
        <v>2024</v>
      </c>
      <c r="B105" t="s">
        <v>17</v>
      </c>
      <c r="C105" s="5" t="s">
        <v>23</v>
      </c>
      <c r="D105" s="5" t="s">
        <v>38</v>
      </c>
      <c r="E105" s="3">
        <v>321</v>
      </c>
    </row>
    <row r="106" spans="1:5">
      <c r="A106">
        <v>2024</v>
      </c>
      <c r="B106" t="s">
        <v>17</v>
      </c>
      <c r="C106" s="5" t="s">
        <v>23</v>
      </c>
      <c r="D106" s="5" t="s">
        <v>39</v>
      </c>
      <c r="E106" s="3">
        <v>78</v>
      </c>
    </row>
    <row r="107" spans="1:5">
      <c r="A107">
        <v>2024</v>
      </c>
      <c r="B107" t="s">
        <v>17</v>
      </c>
      <c r="C107" s="5" t="s">
        <v>23</v>
      </c>
      <c r="D107" s="5" t="s">
        <v>39</v>
      </c>
      <c r="E107" s="3">
        <v>71.5</v>
      </c>
    </row>
    <row r="108" spans="1:5">
      <c r="A108">
        <v>2024</v>
      </c>
      <c r="B108" t="s">
        <v>17</v>
      </c>
      <c r="C108" s="5" t="s">
        <v>23</v>
      </c>
      <c r="D108" s="5" t="s">
        <v>39</v>
      </c>
      <c r="E108" s="3">
        <v>125</v>
      </c>
    </row>
    <row r="109" spans="1:5">
      <c r="A109">
        <v>2024</v>
      </c>
      <c r="B109" t="s">
        <v>17</v>
      </c>
      <c r="C109" s="5" t="s">
        <v>23</v>
      </c>
      <c r="D109" s="5" t="s">
        <v>39</v>
      </c>
      <c r="E109" s="3">
        <v>78</v>
      </c>
    </row>
    <row r="110" spans="1:5">
      <c r="A110">
        <v>2024</v>
      </c>
      <c r="B110" t="s">
        <v>30</v>
      </c>
      <c r="C110" s="5" t="s">
        <v>23</v>
      </c>
      <c r="D110" s="5" t="s">
        <v>38</v>
      </c>
      <c r="E110" s="3">
        <v>363</v>
      </c>
    </row>
    <row r="111" spans="1:5">
      <c r="A111">
        <v>2024</v>
      </c>
      <c r="B111" t="s">
        <v>30</v>
      </c>
      <c r="C111" s="5" t="s">
        <v>23</v>
      </c>
      <c r="D111" s="5" t="s">
        <v>38</v>
      </c>
      <c r="E111" s="3">
        <v>334</v>
      </c>
    </row>
    <row r="112" spans="1:5">
      <c r="A112">
        <v>2024</v>
      </c>
      <c r="B112" t="s">
        <v>30</v>
      </c>
      <c r="C112" s="5" t="s">
        <v>23</v>
      </c>
      <c r="D112" s="5" t="s">
        <v>38</v>
      </c>
      <c r="E112" s="3">
        <v>406</v>
      </c>
    </row>
    <row r="113" spans="1:5">
      <c r="A113">
        <v>2024</v>
      </c>
      <c r="B113" t="s">
        <v>30</v>
      </c>
      <c r="C113" s="5" t="s">
        <v>23</v>
      </c>
      <c r="D113" s="5" t="s">
        <v>38</v>
      </c>
      <c r="E113" s="3">
        <v>19</v>
      </c>
    </row>
    <row r="114" spans="1:5">
      <c r="A114">
        <v>2024</v>
      </c>
      <c r="B114" t="s">
        <v>30</v>
      </c>
      <c r="C114" s="5" t="s">
        <v>23</v>
      </c>
      <c r="D114" s="5" t="s">
        <v>38</v>
      </c>
      <c r="E114" s="3">
        <v>349</v>
      </c>
    </row>
    <row r="115" spans="1:5">
      <c r="A115">
        <v>2024</v>
      </c>
      <c r="B115" t="s">
        <v>30</v>
      </c>
      <c r="C115" s="5" t="s">
        <v>23</v>
      </c>
      <c r="D115" s="5" t="s">
        <v>39</v>
      </c>
      <c r="E115" s="3">
        <v>78</v>
      </c>
    </row>
    <row r="116" spans="1:5">
      <c r="A116">
        <v>2024</v>
      </c>
      <c r="B116" t="s">
        <v>30</v>
      </c>
      <c r="C116" s="5" t="s">
        <v>23</v>
      </c>
      <c r="D116" s="5" t="s">
        <v>39</v>
      </c>
      <c r="E116" s="3">
        <v>20</v>
      </c>
    </row>
    <row r="117" spans="1:5">
      <c r="A117">
        <v>2024</v>
      </c>
      <c r="B117" t="s">
        <v>30</v>
      </c>
      <c r="C117" s="5" t="s">
        <v>10</v>
      </c>
      <c r="D117" s="5" t="s">
        <v>29</v>
      </c>
      <c r="E117" s="3">
        <v>20</v>
      </c>
    </row>
    <row r="118" spans="1:5">
      <c r="A118">
        <v>2024</v>
      </c>
      <c r="B118" t="s">
        <v>18</v>
      </c>
      <c r="C118" s="5" t="s">
        <v>10</v>
      </c>
      <c r="D118" s="5" t="s">
        <v>29</v>
      </c>
      <c r="E118" s="3">
        <v>50</v>
      </c>
    </row>
    <row r="119" spans="1:5">
      <c r="A119">
        <v>2024</v>
      </c>
      <c r="B119" t="s">
        <v>18</v>
      </c>
      <c r="C119" s="5" t="s">
        <v>23</v>
      </c>
      <c r="D119" s="5" t="s">
        <v>38</v>
      </c>
      <c r="E119" s="3">
        <v>427</v>
      </c>
    </row>
    <row r="120" spans="1:5">
      <c r="A120">
        <v>2024</v>
      </c>
      <c r="B120" t="s">
        <v>18</v>
      </c>
      <c r="C120" s="5" t="s">
        <v>23</v>
      </c>
      <c r="D120" s="5" t="s">
        <v>38</v>
      </c>
      <c r="E120" s="3">
        <v>409</v>
      </c>
    </row>
    <row r="121" spans="1:5">
      <c r="A121">
        <v>2024</v>
      </c>
      <c r="B121" t="s">
        <v>18</v>
      </c>
      <c r="C121" s="5" t="s">
        <v>23</v>
      </c>
      <c r="D121" s="5" t="s">
        <v>38</v>
      </c>
      <c r="E121" s="3">
        <v>290</v>
      </c>
    </row>
    <row r="122" spans="1:5">
      <c r="A122">
        <v>2024</v>
      </c>
      <c r="B122" t="s">
        <v>18</v>
      </c>
      <c r="C122" s="5" t="s">
        <v>23</v>
      </c>
      <c r="D122" s="5" t="s">
        <v>38</v>
      </c>
      <c r="E122" s="3">
        <v>503</v>
      </c>
    </row>
    <row r="123" spans="1:5">
      <c r="A123">
        <v>2024</v>
      </c>
      <c r="B123" t="s">
        <v>18</v>
      </c>
      <c r="C123" s="5" t="s">
        <v>23</v>
      </c>
      <c r="D123" s="5" t="s">
        <v>38</v>
      </c>
      <c r="E123" s="3">
        <v>479</v>
      </c>
    </row>
    <row r="124" spans="1:5">
      <c r="A124">
        <v>2024</v>
      </c>
      <c r="B124" t="s">
        <v>18</v>
      </c>
      <c r="C124" s="5" t="s">
        <v>23</v>
      </c>
      <c r="D124" s="5" t="s">
        <v>39</v>
      </c>
      <c r="E124" s="3">
        <v>71.5</v>
      </c>
    </row>
    <row r="125" spans="1:5">
      <c r="A125">
        <v>2024</v>
      </c>
      <c r="B125" t="s">
        <v>18</v>
      </c>
      <c r="C125" s="5" t="s">
        <v>23</v>
      </c>
      <c r="D125" s="5" t="s">
        <v>39</v>
      </c>
      <c r="E125" s="3">
        <v>32.5</v>
      </c>
    </row>
    <row r="126" spans="1:5">
      <c r="A126">
        <v>2024</v>
      </c>
      <c r="B126" t="s">
        <v>18</v>
      </c>
      <c r="C126" s="5" t="s">
        <v>23</v>
      </c>
      <c r="D126" s="5" t="s">
        <v>40</v>
      </c>
      <c r="E126" s="3">
        <v>387</v>
      </c>
    </row>
    <row r="127" spans="1:5">
      <c r="A127">
        <v>2025</v>
      </c>
      <c r="B127" t="s">
        <v>21</v>
      </c>
      <c r="C127" s="5" t="s">
        <v>23</v>
      </c>
      <c r="D127" s="5" t="s">
        <v>38</v>
      </c>
      <c r="E127" s="3">
        <v>722.52</v>
      </c>
    </row>
    <row r="128" spans="1:5">
      <c r="A128">
        <v>2025</v>
      </c>
      <c r="B128" t="s">
        <v>21</v>
      </c>
      <c r="C128" s="5" t="s">
        <v>23</v>
      </c>
      <c r="D128" s="5" t="s">
        <v>38</v>
      </c>
      <c r="E128" s="3">
        <v>353</v>
      </c>
    </row>
    <row r="129" spans="1:5">
      <c r="A129">
        <v>2025</v>
      </c>
      <c r="B129" t="s">
        <v>21</v>
      </c>
      <c r="C129" s="5" t="s">
        <v>23</v>
      </c>
      <c r="D129" s="5" t="s">
        <v>38</v>
      </c>
      <c r="E129" s="3">
        <v>282</v>
      </c>
    </row>
    <row r="130" spans="1:5">
      <c r="A130">
        <v>2025</v>
      </c>
      <c r="B130" t="s">
        <v>21</v>
      </c>
      <c r="C130" s="5" t="s">
        <v>23</v>
      </c>
      <c r="D130" s="5" t="s">
        <v>38</v>
      </c>
      <c r="E130" s="3">
        <v>371</v>
      </c>
    </row>
    <row r="131" spans="1:5">
      <c r="A131">
        <v>2025</v>
      </c>
      <c r="B131" t="s">
        <v>21</v>
      </c>
      <c r="C131" s="5" t="s">
        <v>23</v>
      </c>
      <c r="D131" s="5" t="s">
        <v>40</v>
      </c>
      <c r="E131" s="3">
        <v>77.5</v>
      </c>
    </row>
    <row r="132" spans="1:5">
      <c r="A132">
        <v>2025</v>
      </c>
      <c r="B132" t="s">
        <v>22</v>
      </c>
      <c r="C132" s="5" t="s">
        <v>23</v>
      </c>
      <c r="D132" s="5" t="s">
        <v>38</v>
      </c>
      <c r="E132" s="3">
        <v>197</v>
      </c>
    </row>
    <row r="133" spans="1:5">
      <c r="A133">
        <v>2025</v>
      </c>
      <c r="B133" t="s">
        <v>22</v>
      </c>
      <c r="C133" s="5" t="s">
        <v>23</v>
      </c>
      <c r="D133" s="5" t="s">
        <v>38</v>
      </c>
      <c r="E133" s="3">
        <v>355</v>
      </c>
    </row>
    <row r="134" spans="1:5">
      <c r="A134">
        <v>2025</v>
      </c>
      <c r="B134" t="s">
        <v>22</v>
      </c>
      <c r="C134" s="5" t="s">
        <v>23</v>
      </c>
      <c r="D134" s="5" t="s">
        <v>38</v>
      </c>
      <c r="E134" s="3">
        <v>333</v>
      </c>
    </row>
    <row r="135" spans="1:5">
      <c r="A135">
        <v>2025</v>
      </c>
      <c r="B135" t="s">
        <v>22</v>
      </c>
      <c r="C135" s="5" t="s">
        <v>23</v>
      </c>
      <c r="D135" s="5" t="s">
        <v>38</v>
      </c>
      <c r="E135" s="3">
        <v>359.57</v>
      </c>
    </row>
    <row r="136" spans="1:5">
      <c r="A136">
        <v>2025</v>
      </c>
      <c r="B136" t="s">
        <v>22</v>
      </c>
      <c r="C136" s="5" t="s">
        <v>23</v>
      </c>
      <c r="D136" s="5" t="s">
        <v>38</v>
      </c>
      <c r="E136" s="3">
        <v>343</v>
      </c>
    </row>
    <row r="137" spans="1:5">
      <c r="A137">
        <v>2025</v>
      </c>
      <c r="B137" t="s">
        <v>22</v>
      </c>
      <c r="C137" s="5" t="s">
        <v>23</v>
      </c>
      <c r="D137" s="5" t="s">
        <v>39</v>
      </c>
      <c r="E137" s="3">
        <v>27</v>
      </c>
    </row>
    <row r="138" spans="1:5">
      <c r="A138">
        <v>2025</v>
      </c>
      <c r="B138" t="s">
        <v>22</v>
      </c>
      <c r="C138" s="5" t="s">
        <v>23</v>
      </c>
      <c r="D138" s="5" t="s">
        <v>40</v>
      </c>
      <c r="E138" s="3">
        <v>200</v>
      </c>
    </row>
    <row r="139" spans="1:5">
      <c r="A139">
        <v>2025</v>
      </c>
      <c r="B139" t="s">
        <v>25</v>
      </c>
      <c r="C139" s="5" t="s">
        <v>23</v>
      </c>
      <c r="D139" s="5" t="s">
        <v>38</v>
      </c>
      <c r="E139" s="3">
        <v>262.64999999999998</v>
      </c>
    </row>
    <row r="140" spans="1:5">
      <c r="A140">
        <v>2025</v>
      </c>
      <c r="B140" t="s">
        <v>25</v>
      </c>
      <c r="C140" s="5" t="s">
        <v>23</v>
      </c>
      <c r="D140" s="5" t="s">
        <v>38</v>
      </c>
      <c r="E140" s="3">
        <v>320</v>
      </c>
    </row>
    <row r="141" spans="1:5">
      <c r="A141">
        <v>2025</v>
      </c>
      <c r="B141" t="s">
        <v>25</v>
      </c>
      <c r="C141" s="5" t="s">
        <v>23</v>
      </c>
      <c r="D141" s="5" t="s">
        <v>38</v>
      </c>
      <c r="E141" s="3">
        <v>386.92</v>
      </c>
    </row>
    <row r="142" spans="1:5">
      <c r="A142">
        <v>2025</v>
      </c>
      <c r="B142" t="s">
        <v>25</v>
      </c>
      <c r="C142" s="5" t="s">
        <v>23</v>
      </c>
      <c r="D142" s="5" t="s">
        <v>38</v>
      </c>
      <c r="E142" s="3">
        <v>347</v>
      </c>
    </row>
    <row r="143" spans="1:5">
      <c r="A143">
        <v>2025</v>
      </c>
      <c r="B143" t="s">
        <v>25</v>
      </c>
      <c r="C143" s="5" t="s">
        <v>23</v>
      </c>
      <c r="D143" s="5" t="s">
        <v>40</v>
      </c>
      <c r="E143" s="3">
        <v>95</v>
      </c>
    </row>
    <row r="144" spans="1:5">
      <c r="A144">
        <v>2025</v>
      </c>
      <c r="B144" t="s">
        <v>26</v>
      </c>
      <c r="C144" s="5" t="s">
        <v>23</v>
      </c>
      <c r="D144" s="5" t="s">
        <v>38</v>
      </c>
      <c r="E144" s="3">
        <v>400</v>
      </c>
    </row>
    <row r="145" spans="1:5">
      <c r="A145">
        <v>2025</v>
      </c>
      <c r="B145" t="s">
        <v>26</v>
      </c>
      <c r="C145" s="5" t="s">
        <v>23</v>
      </c>
      <c r="D145" s="5" t="s">
        <v>38</v>
      </c>
      <c r="E145" s="3">
        <v>96</v>
      </c>
    </row>
    <row r="146" spans="1:5">
      <c r="A146">
        <v>2025</v>
      </c>
      <c r="B146" t="s">
        <v>26</v>
      </c>
      <c r="C146" s="5" t="s">
        <v>23</v>
      </c>
      <c r="D146" s="5" t="s">
        <v>38</v>
      </c>
      <c r="E146" s="3">
        <v>366</v>
      </c>
    </row>
    <row r="147" spans="1:5">
      <c r="A147">
        <v>2025</v>
      </c>
      <c r="B147" t="s">
        <v>26</v>
      </c>
      <c r="C147" s="5" t="s">
        <v>23</v>
      </c>
      <c r="D147" s="5" t="s">
        <v>38</v>
      </c>
      <c r="E147" s="3">
        <v>409</v>
      </c>
    </row>
    <row r="148" spans="1:5">
      <c r="A148">
        <v>2025</v>
      </c>
      <c r="B148" t="s">
        <v>26</v>
      </c>
      <c r="C148" s="5" t="s">
        <v>23</v>
      </c>
      <c r="D148" s="5" t="s">
        <v>38</v>
      </c>
      <c r="E148" s="3">
        <v>883</v>
      </c>
    </row>
    <row r="149" spans="1:5">
      <c r="A149">
        <v>2025</v>
      </c>
      <c r="B149" t="s">
        <v>26</v>
      </c>
      <c r="C149" s="5" t="s">
        <v>23</v>
      </c>
      <c r="D149" s="5" t="s">
        <v>40</v>
      </c>
      <c r="E149" s="3">
        <v>147</v>
      </c>
    </row>
    <row r="150" spans="1:5">
      <c r="A150">
        <v>2025</v>
      </c>
      <c r="B150" t="s">
        <v>5</v>
      </c>
      <c r="C150" s="5" t="s">
        <v>23</v>
      </c>
      <c r="D150" s="5" t="s">
        <v>38</v>
      </c>
      <c r="E150" s="3">
        <v>390</v>
      </c>
    </row>
    <row r="151" spans="1:5">
      <c r="A151">
        <v>2025</v>
      </c>
      <c r="B151" t="s">
        <v>5</v>
      </c>
      <c r="C151" s="5" t="s">
        <v>23</v>
      </c>
      <c r="D151" s="5" t="s">
        <v>38</v>
      </c>
      <c r="E151" s="3">
        <v>402.21</v>
      </c>
    </row>
    <row r="152" spans="1:5">
      <c r="A152">
        <v>2025</v>
      </c>
      <c r="B152" t="s">
        <v>5</v>
      </c>
      <c r="C152" s="5" t="s">
        <v>23</v>
      </c>
      <c r="D152" s="5" t="s">
        <v>38</v>
      </c>
      <c r="E152" s="3">
        <v>448</v>
      </c>
    </row>
    <row r="153" spans="1:5">
      <c r="A153">
        <v>2025</v>
      </c>
      <c r="B153" t="s">
        <v>5</v>
      </c>
      <c r="C153" s="5" t="s">
        <v>23</v>
      </c>
      <c r="D153" s="5" t="s">
        <v>38</v>
      </c>
      <c r="E153" s="3">
        <v>426</v>
      </c>
    </row>
    <row r="154" spans="1:5">
      <c r="A154">
        <v>2025</v>
      </c>
      <c r="B154" t="s">
        <v>5</v>
      </c>
      <c r="C154" s="5" t="s">
        <v>23</v>
      </c>
      <c r="D154" s="5" t="s">
        <v>40</v>
      </c>
      <c r="E154" s="3">
        <v>209</v>
      </c>
    </row>
    <row r="155" spans="1:5">
      <c r="A155">
        <v>2025</v>
      </c>
      <c r="B155" t="s">
        <v>12</v>
      </c>
      <c r="C155" s="5" t="s">
        <v>23</v>
      </c>
      <c r="D155" s="5" t="s">
        <v>38</v>
      </c>
      <c r="E155" s="3">
        <v>211.43</v>
      </c>
    </row>
    <row r="156" spans="1:5">
      <c r="A156">
        <v>2025</v>
      </c>
      <c r="B156" t="s">
        <v>12</v>
      </c>
      <c r="C156" s="5" t="s">
        <v>23</v>
      </c>
      <c r="D156" s="5" t="s">
        <v>38</v>
      </c>
      <c r="E156" s="3">
        <v>260.57</v>
      </c>
    </row>
    <row r="157" spans="1:5">
      <c r="A157">
        <v>2025</v>
      </c>
      <c r="B157" t="s">
        <v>12</v>
      </c>
      <c r="C157" s="5" t="s">
        <v>23</v>
      </c>
      <c r="D157" s="5" t="s">
        <v>38</v>
      </c>
      <c r="E157" s="3">
        <v>387.43</v>
      </c>
    </row>
    <row r="158" spans="1:5">
      <c r="A158">
        <v>2025</v>
      </c>
      <c r="B158" t="s">
        <v>12</v>
      </c>
      <c r="C158" s="5" t="s">
        <v>23</v>
      </c>
      <c r="D158" s="5" t="s">
        <v>38</v>
      </c>
      <c r="E158" s="3">
        <v>442.49</v>
      </c>
    </row>
    <row r="159" spans="1:5">
      <c r="A159">
        <v>2025</v>
      </c>
      <c r="B159" t="s">
        <v>12</v>
      </c>
      <c r="C159" s="5" t="s">
        <v>23</v>
      </c>
      <c r="D159" s="5" t="s">
        <v>40</v>
      </c>
      <c r="E159" s="3">
        <v>192</v>
      </c>
    </row>
    <row r="160" spans="1:5">
      <c r="A160">
        <v>2025</v>
      </c>
      <c r="B160" t="s">
        <v>14</v>
      </c>
      <c r="C160" s="5" t="s">
        <v>23</v>
      </c>
      <c r="D160" s="5" t="s">
        <v>38</v>
      </c>
      <c r="E160" s="3">
        <v>331</v>
      </c>
    </row>
    <row r="161" spans="1:5">
      <c r="A161">
        <v>2025</v>
      </c>
      <c r="B161" t="s">
        <v>14</v>
      </c>
      <c r="C161" s="5" t="s">
        <v>23</v>
      </c>
      <c r="D161" s="5" t="s">
        <v>38</v>
      </c>
      <c r="E161" s="3">
        <v>362.26</v>
      </c>
    </row>
    <row r="162" spans="1:5">
      <c r="A162">
        <v>2025</v>
      </c>
      <c r="B162" t="s">
        <v>14</v>
      </c>
      <c r="C162" s="5" t="s">
        <v>23</v>
      </c>
      <c r="D162" s="5" t="s">
        <v>38</v>
      </c>
      <c r="E162" s="3">
        <v>386</v>
      </c>
    </row>
    <row r="163" spans="1:5">
      <c r="A163">
        <v>2025</v>
      </c>
      <c r="B163" t="s">
        <v>14</v>
      </c>
      <c r="C163" s="5" t="s">
        <v>23</v>
      </c>
      <c r="D163" s="5" t="s">
        <v>38</v>
      </c>
      <c r="E163" s="3">
        <v>415</v>
      </c>
    </row>
    <row r="164" spans="1:5">
      <c r="A164">
        <v>2025</v>
      </c>
      <c r="B164" t="s">
        <v>14</v>
      </c>
      <c r="C164" s="5" t="s">
        <v>23</v>
      </c>
      <c r="D164" s="5" t="s">
        <v>38</v>
      </c>
      <c r="E164" s="3">
        <v>390</v>
      </c>
    </row>
    <row r="165" spans="1:5">
      <c r="A165">
        <v>2025</v>
      </c>
      <c r="B165" t="s">
        <v>14</v>
      </c>
      <c r="C165" s="5" t="s">
        <v>23</v>
      </c>
      <c r="D165" s="5" t="s">
        <v>40</v>
      </c>
      <c r="E165" s="3">
        <v>145</v>
      </c>
    </row>
    <row r="166" spans="1:5">
      <c r="A166">
        <v>2025</v>
      </c>
      <c r="B166" t="s">
        <v>15</v>
      </c>
      <c r="C166" s="5" t="s">
        <v>23</v>
      </c>
      <c r="D166" s="5" t="s">
        <v>38</v>
      </c>
      <c r="E166" s="3">
        <v>456</v>
      </c>
    </row>
    <row r="167" spans="1:5">
      <c r="A167">
        <v>2025</v>
      </c>
      <c r="B167" t="s">
        <v>15</v>
      </c>
      <c r="C167" s="5" t="s">
        <v>23</v>
      </c>
      <c r="D167" s="5" t="s">
        <v>38</v>
      </c>
      <c r="E167" s="3">
        <v>285</v>
      </c>
    </row>
    <row r="168" spans="1:5">
      <c r="A168">
        <v>2025</v>
      </c>
      <c r="B168" t="s">
        <v>15</v>
      </c>
      <c r="C168" s="5" t="s">
        <v>23</v>
      </c>
      <c r="D168" s="5" t="s">
        <v>38</v>
      </c>
      <c r="E168" s="3">
        <v>414</v>
      </c>
    </row>
    <row r="169" spans="1:5">
      <c r="A169">
        <v>2025</v>
      </c>
      <c r="B169" t="s">
        <v>15</v>
      </c>
      <c r="C169" s="5" t="s">
        <v>23</v>
      </c>
      <c r="D169" s="5" t="s">
        <v>38</v>
      </c>
      <c r="E169" s="3">
        <v>403</v>
      </c>
    </row>
    <row r="170" spans="1:5">
      <c r="A170">
        <v>2025</v>
      </c>
      <c r="B170" t="s">
        <v>15</v>
      </c>
      <c r="C170" s="5" t="s">
        <v>23</v>
      </c>
      <c r="D170" s="5" t="s">
        <v>40</v>
      </c>
      <c r="E170" s="3">
        <v>135</v>
      </c>
    </row>
    <row r="171" spans="1:5">
      <c r="A171">
        <v>2025</v>
      </c>
      <c r="B171" t="s">
        <v>16</v>
      </c>
      <c r="C171" s="5" t="s">
        <v>23</v>
      </c>
      <c r="D171" s="5" t="s">
        <v>38</v>
      </c>
      <c r="E171" s="3">
        <v>300</v>
      </c>
    </row>
    <row r="172" spans="1:5">
      <c r="A172">
        <v>2025</v>
      </c>
      <c r="B172" t="s">
        <v>16</v>
      </c>
      <c r="C172" s="5" t="s">
        <v>23</v>
      </c>
      <c r="D172" s="5" t="s">
        <v>38</v>
      </c>
      <c r="E172" s="3">
        <v>309</v>
      </c>
    </row>
    <row r="173" spans="1:5">
      <c r="A173">
        <v>2025</v>
      </c>
      <c r="B173" t="s">
        <v>16</v>
      </c>
      <c r="C173" s="5" t="s">
        <v>23</v>
      </c>
      <c r="D173" s="5" t="s">
        <v>38</v>
      </c>
      <c r="E173" s="3">
        <v>442</v>
      </c>
    </row>
    <row r="174" spans="1:5">
      <c r="A174">
        <v>2025</v>
      </c>
      <c r="B174" t="s">
        <v>16</v>
      </c>
      <c r="C174" s="5" t="s">
        <v>23</v>
      </c>
      <c r="D174" s="5" t="s">
        <v>38</v>
      </c>
      <c r="E174" s="3">
        <v>466</v>
      </c>
    </row>
    <row r="175" spans="1:5">
      <c r="A175">
        <v>2025</v>
      </c>
      <c r="B175" t="s">
        <v>16</v>
      </c>
      <c r="C175" s="5" t="s">
        <v>23</v>
      </c>
      <c r="D175" s="5" t="s">
        <v>40</v>
      </c>
      <c r="E175" s="3">
        <v>38</v>
      </c>
    </row>
    <row r="176" spans="1:5">
      <c r="A176">
        <v>2025</v>
      </c>
      <c r="B176" t="s">
        <v>16</v>
      </c>
      <c r="C176" s="5" t="s">
        <v>10</v>
      </c>
      <c r="D176" s="5" t="s">
        <v>29</v>
      </c>
      <c r="E176" s="3">
        <v>150</v>
      </c>
    </row>
    <row r="177" spans="1:5">
      <c r="A177">
        <v>2025</v>
      </c>
      <c r="B177" t="s">
        <v>17</v>
      </c>
      <c r="C177" s="5" t="s">
        <v>23</v>
      </c>
      <c r="D177" s="5" t="s">
        <v>38</v>
      </c>
      <c r="E177" s="3">
        <v>445</v>
      </c>
    </row>
    <row r="178" spans="1:5">
      <c r="A178">
        <v>2025</v>
      </c>
      <c r="B178" t="s">
        <v>17</v>
      </c>
      <c r="C178" s="5" t="s">
        <v>23</v>
      </c>
      <c r="D178" s="5" t="s">
        <v>38</v>
      </c>
      <c r="E178" s="3">
        <v>382</v>
      </c>
    </row>
    <row r="179" spans="1:5">
      <c r="A179">
        <v>2025</v>
      </c>
      <c r="B179" t="s">
        <v>17</v>
      </c>
      <c r="C179" s="5" t="s">
        <v>23</v>
      </c>
      <c r="D179" s="5" t="s">
        <v>38</v>
      </c>
      <c r="E179" s="3">
        <v>390</v>
      </c>
    </row>
    <row r="180" spans="1:5">
      <c r="A180">
        <v>2025</v>
      </c>
      <c r="B180" t="s">
        <v>17</v>
      </c>
      <c r="C180" s="5" t="s">
        <v>23</v>
      </c>
      <c r="D180" s="5" t="s">
        <v>38</v>
      </c>
      <c r="E180" s="3">
        <v>476</v>
      </c>
    </row>
    <row r="181" spans="1:5">
      <c r="A181">
        <v>2025</v>
      </c>
      <c r="B181" t="s">
        <v>17</v>
      </c>
      <c r="C181" s="5" t="s">
        <v>23</v>
      </c>
      <c r="D181" s="5" t="s">
        <v>38</v>
      </c>
      <c r="E181" s="3">
        <v>375</v>
      </c>
    </row>
    <row r="182" spans="1:5">
      <c r="A182">
        <v>2025</v>
      </c>
      <c r="B182" t="s">
        <v>30</v>
      </c>
      <c r="C182" s="5" t="s">
        <v>23</v>
      </c>
      <c r="D182" s="5" t="s">
        <v>38</v>
      </c>
      <c r="E182" s="3">
        <v>452</v>
      </c>
    </row>
    <row r="183" spans="1:5">
      <c r="A183">
        <v>2025</v>
      </c>
      <c r="B183" t="s">
        <v>30</v>
      </c>
      <c r="C183" s="5" t="s">
        <v>23</v>
      </c>
      <c r="D183" s="5" t="s">
        <v>38</v>
      </c>
      <c r="E183" s="3">
        <v>468</v>
      </c>
    </row>
    <row r="184" spans="1:5">
      <c r="A184">
        <v>2025</v>
      </c>
      <c r="B184" t="s">
        <v>30</v>
      </c>
      <c r="C184" s="5" t="s">
        <v>23</v>
      </c>
      <c r="D184" s="5" t="s">
        <v>38</v>
      </c>
      <c r="E184" s="3">
        <v>374</v>
      </c>
    </row>
    <row r="185" spans="1:5">
      <c r="A185">
        <v>2025</v>
      </c>
      <c r="B185" t="s">
        <v>30</v>
      </c>
      <c r="C185" s="5" t="s">
        <v>23</v>
      </c>
      <c r="D185" s="5" t="s">
        <v>38</v>
      </c>
      <c r="E185" s="3">
        <v>484</v>
      </c>
    </row>
    <row r="186" spans="1:5">
      <c r="A186">
        <v>2025</v>
      </c>
      <c r="B186" t="s">
        <v>30</v>
      </c>
      <c r="C186" s="5" t="s">
        <v>23</v>
      </c>
      <c r="D186" s="5" t="s">
        <v>40</v>
      </c>
      <c r="E186" s="3">
        <v>79</v>
      </c>
    </row>
    <row r="187" spans="1:5">
      <c r="A187">
        <v>2025</v>
      </c>
      <c r="B187" t="s">
        <v>18</v>
      </c>
      <c r="C187" s="5" t="s">
        <v>23</v>
      </c>
      <c r="D187" s="5" t="s">
        <v>38</v>
      </c>
      <c r="E187" s="3">
        <v>470</v>
      </c>
    </row>
    <row r="188" spans="1:5">
      <c r="A188">
        <v>2025</v>
      </c>
      <c r="B188" t="s">
        <v>18</v>
      </c>
      <c r="C188" s="5" t="s">
        <v>23</v>
      </c>
      <c r="D188" s="5" t="s">
        <v>38</v>
      </c>
      <c r="E188" s="3">
        <v>543.29999999999995</v>
      </c>
    </row>
    <row r="189" spans="1:5">
      <c r="A189">
        <v>2025</v>
      </c>
      <c r="B189" t="s">
        <v>18</v>
      </c>
      <c r="C189" s="5" t="s">
        <v>23</v>
      </c>
      <c r="D189" s="5" t="s">
        <v>38</v>
      </c>
      <c r="E189" s="3">
        <v>524</v>
      </c>
    </row>
    <row r="190" spans="1:5">
      <c r="A190">
        <v>2025</v>
      </c>
      <c r="B190" t="s">
        <v>18</v>
      </c>
      <c r="C190" s="5" t="s">
        <v>23</v>
      </c>
      <c r="D190" s="5" t="s">
        <v>38</v>
      </c>
      <c r="E190" s="3">
        <v>568</v>
      </c>
    </row>
    <row r="191" spans="1:5">
      <c r="A191">
        <v>2025</v>
      </c>
      <c r="B191" t="s">
        <v>18</v>
      </c>
      <c r="C191" s="5" t="s">
        <v>23</v>
      </c>
      <c r="D191" s="5" t="s">
        <v>38</v>
      </c>
      <c r="E191" s="3">
        <v>525.29999999999995</v>
      </c>
    </row>
    <row r="192" spans="1:5">
      <c r="A192">
        <v>2025</v>
      </c>
      <c r="B192" t="s">
        <v>18</v>
      </c>
      <c r="C192" s="5" t="s">
        <v>23</v>
      </c>
      <c r="D192" s="5" t="s">
        <v>40</v>
      </c>
      <c r="E192" s="3">
        <v>65</v>
      </c>
    </row>
    <row r="193" spans="1:5">
      <c r="A193">
        <v>2025</v>
      </c>
      <c r="B193" t="s">
        <v>18</v>
      </c>
      <c r="C193" s="5" t="s">
        <v>23</v>
      </c>
      <c r="D193" s="5" t="s">
        <v>40</v>
      </c>
      <c r="E193" s="3">
        <v>40</v>
      </c>
    </row>
    <row r="194" spans="1:5">
      <c r="A194">
        <v>2025</v>
      </c>
      <c r="B194" t="s">
        <v>18</v>
      </c>
      <c r="C194" s="5" t="s">
        <v>23</v>
      </c>
      <c r="D194" s="5" t="s">
        <v>40</v>
      </c>
      <c r="E194" s="3">
        <v>60</v>
      </c>
    </row>
    <row r="195" spans="1:5">
      <c r="A195">
        <v>2025</v>
      </c>
      <c r="B195" t="s">
        <v>18</v>
      </c>
      <c r="C195" s="5" t="s">
        <v>23</v>
      </c>
      <c r="D195" s="5" t="s">
        <v>40</v>
      </c>
      <c r="E195" s="3">
        <v>60</v>
      </c>
    </row>
    <row r="196" spans="1:5">
      <c r="A196">
        <v>2025</v>
      </c>
      <c r="B196" t="s">
        <v>18</v>
      </c>
      <c r="C196" s="5" t="s">
        <v>10</v>
      </c>
      <c r="D196" s="5" t="s">
        <v>29</v>
      </c>
      <c r="E196" s="3">
        <v>50</v>
      </c>
    </row>
    <row r="197" spans="1:5">
      <c r="A197">
        <v>2026</v>
      </c>
      <c r="B197" t="s">
        <v>34</v>
      </c>
      <c r="C197" s="5" t="s">
        <v>23</v>
      </c>
      <c r="D197" s="5" t="s">
        <v>38</v>
      </c>
      <c r="E197" s="3">
        <v>656.86</v>
      </c>
    </row>
    <row r="198" spans="1:5">
      <c r="A198">
        <v>2026</v>
      </c>
      <c r="B198" t="s">
        <v>34</v>
      </c>
      <c r="C198" s="5" t="s">
        <v>23</v>
      </c>
      <c r="D198" s="5" t="s">
        <v>38</v>
      </c>
      <c r="E198" s="3">
        <v>413.96</v>
      </c>
    </row>
    <row r="199" spans="1:5">
      <c r="A199">
        <v>2026</v>
      </c>
      <c r="B199" t="s">
        <v>34</v>
      </c>
      <c r="C199" s="5" t="s">
        <v>23</v>
      </c>
      <c r="D199" s="5" t="s">
        <v>38</v>
      </c>
      <c r="E199" s="3">
        <v>428.92</v>
      </c>
    </row>
    <row r="200" spans="1:5">
      <c r="A200">
        <v>2026</v>
      </c>
      <c r="B200" t="s">
        <v>34</v>
      </c>
      <c r="C200" s="5" t="s">
        <v>23</v>
      </c>
      <c r="D200" s="5" t="s">
        <v>38</v>
      </c>
      <c r="E200" s="3">
        <v>492.68</v>
      </c>
    </row>
    <row r="201" spans="1:5">
      <c r="A201">
        <v>2026</v>
      </c>
      <c r="B201" t="s">
        <v>35</v>
      </c>
      <c r="C201" s="5" t="s">
        <v>23</v>
      </c>
      <c r="D201" s="5" t="s">
        <v>38</v>
      </c>
      <c r="E201" s="3">
        <v>471.61</v>
      </c>
    </row>
    <row r="202" spans="1:5">
      <c r="A202">
        <v>2026</v>
      </c>
      <c r="B202" t="s">
        <v>35</v>
      </c>
      <c r="C202" s="5" t="s">
        <v>23</v>
      </c>
      <c r="D202" s="5" t="s">
        <v>38</v>
      </c>
      <c r="E202" s="3">
        <v>485.35</v>
      </c>
    </row>
    <row r="203" spans="1:5">
      <c r="A203">
        <v>2026</v>
      </c>
      <c r="B203" t="s">
        <v>35</v>
      </c>
      <c r="C203" s="5" t="s">
        <v>23</v>
      </c>
      <c r="D203" s="5" t="s">
        <v>38</v>
      </c>
      <c r="E203" s="3">
        <v>517.70000000000005</v>
      </c>
    </row>
    <row r="204" spans="1:5">
      <c r="A204">
        <v>2026</v>
      </c>
      <c r="B204" t="s">
        <v>35</v>
      </c>
      <c r="C204" s="5" t="s">
        <v>23</v>
      </c>
      <c r="D204" s="5" t="s">
        <v>38</v>
      </c>
      <c r="E204" s="3">
        <v>492.24</v>
      </c>
    </row>
    <row r="205" spans="1:5">
      <c r="A205">
        <v>2026</v>
      </c>
      <c r="B205" t="s">
        <v>25</v>
      </c>
      <c r="C205" s="5" t="s">
        <v>23</v>
      </c>
      <c r="D205" s="5" t="s">
        <v>38</v>
      </c>
      <c r="E205" s="3">
        <v>482.11</v>
      </c>
    </row>
    <row r="206" spans="1:5">
      <c r="A206">
        <v>2026</v>
      </c>
      <c r="B206" t="s">
        <v>25</v>
      </c>
      <c r="C206" s="5" t="s">
        <v>23</v>
      </c>
      <c r="D206" s="5" t="s">
        <v>38</v>
      </c>
      <c r="E206" s="3">
        <v>524.69000000000005</v>
      </c>
    </row>
    <row r="207" spans="1:5">
      <c r="A207">
        <v>2026</v>
      </c>
      <c r="B207" t="s">
        <v>25</v>
      </c>
      <c r="C207" s="5" t="s">
        <v>23</v>
      </c>
      <c r="D207" s="5" t="s">
        <v>38</v>
      </c>
      <c r="E207" s="3">
        <v>510.4</v>
      </c>
    </row>
    <row r="208" spans="1:5">
      <c r="A208">
        <v>2026</v>
      </c>
      <c r="B208" t="s">
        <v>25</v>
      </c>
      <c r="C208" s="5" t="s">
        <v>23</v>
      </c>
      <c r="D208" s="5" t="s">
        <v>38</v>
      </c>
      <c r="E208" s="3">
        <v>471.46</v>
      </c>
    </row>
    <row r="209" spans="1:5">
      <c r="A209">
        <v>2026</v>
      </c>
      <c r="B209" t="s">
        <v>26</v>
      </c>
      <c r="C209" s="5" t="s">
        <v>23</v>
      </c>
      <c r="D209" s="5" t="s">
        <v>38</v>
      </c>
      <c r="E209" s="3">
        <v>507.79</v>
      </c>
    </row>
    <row r="210" spans="1:5">
      <c r="A210">
        <v>2026</v>
      </c>
      <c r="B210" t="s">
        <v>26</v>
      </c>
      <c r="C210" s="5" t="s">
        <v>23</v>
      </c>
      <c r="D210" s="5" t="s">
        <v>38</v>
      </c>
      <c r="E210" s="3">
        <v>529.46</v>
      </c>
    </row>
    <row r="211" spans="1:5">
      <c r="A211">
        <v>2026</v>
      </c>
      <c r="B211" t="s">
        <v>26</v>
      </c>
      <c r="C211" s="5" t="s">
        <v>23</v>
      </c>
      <c r="D211" s="5" t="s">
        <v>38</v>
      </c>
      <c r="E211" s="3">
        <v>423.05</v>
      </c>
    </row>
    <row r="212" spans="1:5">
      <c r="A212">
        <v>2026</v>
      </c>
      <c r="B212" t="s">
        <v>26</v>
      </c>
      <c r="C212" s="5" t="s">
        <v>23</v>
      </c>
      <c r="D212" s="5" t="s">
        <v>38</v>
      </c>
      <c r="E212" s="3">
        <v>428.93</v>
      </c>
    </row>
    <row r="213" spans="1:5">
      <c r="A213">
        <v>2026</v>
      </c>
      <c r="B213" t="s">
        <v>26</v>
      </c>
      <c r="C213" s="5" t="s">
        <v>23</v>
      </c>
      <c r="D213" s="5" t="s">
        <v>38</v>
      </c>
      <c r="E213" s="3">
        <v>536.74</v>
      </c>
    </row>
    <row r="214" spans="1:5">
      <c r="A214">
        <v>2026</v>
      </c>
      <c r="B214" t="s">
        <v>5</v>
      </c>
      <c r="C214" s="5" t="s">
        <v>23</v>
      </c>
      <c r="D214" s="5" t="s">
        <v>38</v>
      </c>
      <c r="E214" s="3">
        <v>461.36</v>
      </c>
    </row>
    <row r="215" spans="1:5">
      <c r="A215">
        <v>2026</v>
      </c>
      <c r="B215" t="s">
        <v>5</v>
      </c>
      <c r="C215" s="5" t="s">
        <v>23</v>
      </c>
      <c r="D215" s="5" t="s">
        <v>38</v>
      </c>
      <c r="E215" s="3">
        <v>503.02</v>
      </c>
    </row>
    <row r="216" spans="1:5">
      <c r="A216">
        <v>2026</v>
      </c>
      <c r="B216" t="s">
        <v>5</v>
      </c>
      <c r="C216" s="5" t="s">
        <v>23</v>
      </c>
      <c r="D216" s="5" t="s">
        <v>38</v>
      </c>
      <c r="E216" s="3">
        <v>513.70000000000005</v>
      </c>
    </row>
    <row r="217" spans="1:5">
      <c r="A217">
        <v>2026</v>
      </c>
      <c r="B217" t="s">
        <v>5</v>
      </c>
      <c r="C217" s="5" t="s">
        <v>23</v>
      </c>
      <c r="D217" s="5" t="s">
        <v>38</v>
      </c>
      <c r="E217" s="3">
        <v>513.71</v>
      </c>
    </row>
    <row r="218" spans="1:5">
      <c r="A218">
        <v>2026</v>
      </c>
      <c r="B218" t="s">
        <v>12</v>
      </c>
      <c r="C218" s="5" t="s">
        <v>23</v>
      </c>
      <c r="D218" s="5" t="s">
        <v>38</v>
      </c>
      <c r="E218" s="3">
        <v>264.52999999999997</v>
      </c>
    </row>
    <row r="219" spans="1:5">
      <c r="A219">
        <v>2026</v>
      </c>
      <c r="B219" t="s">
        <v>12</v>
      </c>
      <c r="C219" s="5" t="s">
        <v>23</v>
      </c>
      <c r="D219" s="5" t="s">
        <v>38</v>
      </c>
      <c r="E219" s="3">
        <v>558.98</v>
      </c>
    </row>
    <row r="220" spans="1:5">
      <c r="A220">
        <v>2026</v>
      </c>
      <c r="B220" t="s">
        <v>12</v>
      </c>
      <c r="C220" s="5" t="s">
        <v>23</v>
      </c>
      <c r="D220" s="5" t="s">
        <v>38</v>
      </c>
      <c r="E220" s="3">
        <v>490.1</v>
      </c>
    </row>
    <row r="221" spans="1:5">
      <c r="A221">
        <v>2026</v>
      </c>
      <c r="B221" t="s">
        <v>12</v>
      </c>
      <c r="C221" s="5" t="s">
        <v>23</v>
      </c>
      <c r="D221" s="5" t="s">
        <v>38</v>
      </c>
      <c r="E221" s="3">
        <v>495.88</v>
      </c>
    </row>
    <row r="222" spans="1:5">
      <c r="A222">
        <v>2026</v>
      </c>
      <c r="B222" t="s">
        <v>12</v>
      </c>
      <c r="C222" s="5" t="s">
        <v>10</v>
      </c>
      <c r="D222" s="5" t="s">
        <v>29</v>
      </c>
      <c r="E222" s="3">
        <v>250</v>
      </c>
    </row>
    <row r="223" spans="1:5">
      <c r="A223">
        <v>2026</v>
      </c>
      <c r="B223" t="s">
        <v>35</v>
      </c>
      <c r="C223" s="5" t="s">
        <v>23</v>
      </c>
      <c r="D223" s="5" t="s">
        <v>40</v>
      </c>
      <c r="E223" s="3">
        <v>40</v>
      </c>
    </row>
    <row r="224" spans="1:5">
      <c r="A224">
        <v>2026</v>
      </c>
      <c r="B224" t="s">
        <v>25</v>
      </c>
      <c r="C224" s="5" t="s">
        <v>10</v>
      </c>
      <c r="D224" s="5" t="s">
        <v>41</v>
      </c>
      <c r="E224" s="3">
        <v>427.4</v>
      </c>
    </row>
    <row r="225" spans="1:5">
      <c r="A225">
        <v>2026</v>
      </c>
      <c r="B225" t="s">
        <v>26</v>
      </c>
      <c r="C225" s="5" t="s">
        <v>23</v>
      </c>
      <c r="D225" s="5" t="s">
        <v>40</v>
      </c>
      <c r="E225" s="3">
        <v>56</v>
      </c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58B4-7BF7-48FF-A621-ADF3D2DBEE10}">
  <dimension ref="A1:N618"/>
  <sheetViews>
    <sheetView topLeftCell="L1" workbookViewId="0">
      <selection activeCell="AD9" sqref="AD9"/>
    </sheetView>
  </sheetViews>
  <sheetFormatPr defaultRowHeight="15"/>
  <cols>
    <col min="1" max="1" width="7.140625" bestFit="1" customWidth="1"/>
    <col min="2" max="2" width="10.28515625" bestFit="1" customWidth="1"/>
    <col min="3" max="3" width="11.140625" bestFit="1" customWidth="1"/>
    <col min="4" max="4" width="21.7109375" customWidth="1"/>
    <col min="5" max="5" width="14.28515625" style="9" customWidth="1"/>
    <col min="6" max="8" width="20.5703125" customWidth="1"/>
    <col min="9" max="9" width="4.85546875" customWidth="1"/>
    <col min="10" max="10" width="10.42578125" bestFit="1" customWidth="1"/>
    <col min="11" max="11" width="12" bestFit="1" customWidth="1"/>
    <col min="12" max="12" width="21.85546875" bestFit="1" customWidth="1"/>
    <col min="13" max="13" width="15.42578125" bestFit="1" customWidth="1"/>
    <col min="14" max="14" width="16.28515625" customWidth="1"/>
    <col min="15" max="15" width="16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42</v>
      </c>
      <c r="E1" s="8" t="s">
        <v>43</v>
      </c>
      <c r="F1" t="s">
        <v>44</v>
      </c>
      <c r="G1" s="1" t="s">
        <v>45</v>
      </c>
      <c r="H1" s="1" t="s">
        <v>46</v>
      </c>
      <c r="I1" s="1"/>
      <c r="J1" s="1"/>
      <c r="K1" s="5"/>
      <c r="L1" s="5"/>
    </row>
    <row r="2" spans="1:14">
      <c r="A2">
        <v>2022</v>
      </c>
      <c r="B2" t="s">
        <v>5</v>
      </c>
      <c r="C2" t="s">
        <v>47</v>
      </c>
      <c r="D2" s="7" t="s">
        <v>48</v>
      </c>
      <c r="E2" s="9">
        <v>16.8</v>
      </c>
      <c r="F2" s="7" t="s">
        <v>49</v>
      </c>
      <c r="G2" s="7" t="s">
        <v>50</v>
      </c>
      <c r="H2" s="7"/>
      <c r="I2" s="5"/>
      <c r="J2" s="11" t="s">
        <v>0</v>
      </c>
      <c r="K2" s="11" t="s">
        <v>1</v>
      </c>
      <c r="L2" s="11" t="s">
        <v>2</v>
      </c>
      <c r="M2" s="11" t="s">
        <v>42</v>
      </c>
      <c r="N2" t="s">
        <v>51</v>
      </c>
    </row>
    <row r="3" spans="1:14">
      <c r="A3">
        <v>2022</v>
      </c>
      <c r="B3" t="s">
        <v>5</v>
      </c>
      <c r="C3" t="s">
        <v>52</v>
      </c>
      <c r="D3" t="s">
        <v>53</v>
      </c>
      <c r="E3" s="9">
        <v>200</v>
      </c>
      <c r="F3" t="s">
        <v>54</v>
      </c>
      <c r="G3" s="7" t="s">
        <v>50</v>
      </c>
      <c r="H3" s="7"/>
      <c r="I3" s="5"/>
      <c r="J3">
        <v>2022</v>
      </c>
      <c r="K3" t="s">
        <v>5</v>
      </c>
      <c r="N3" s="9">
        <v>1480.82</v>
      </c>
    </row>
    <row r="4" spans="1:14">
      <c r="A4">
        <v>2022</v>
      </c>
      <c r="B4" t="s">
        <v>5</v>
      </c>
      <c r="C4" t="s">
        <v>52</v>
      </c>
      <c r="D4" s="7" t="s">
        <v>55</v>
      </c>
      <c r="E4" s="9">
        <v>30.9</v>
      </c>
      <c r="F4" t="s">
        <v>56</v>
      </c>
      <c r="G4" s="7" t="s">
        <v>50</v>
      </c>
      <c r="H4" s="7"/>
      <c r="I4" s="5"/>
      <c r="K4" t="s">
        <v>12</v>
      </c>
      <c r="N4" s="9">
        <v>840.83</v>
      </c>
    </row>
    <row r="5" spans="1:14">
      <c r="A5">
        <v>2022</v>
      </c>
      <c r="B5" t="s">
        <v>5</v>
      </c>
      <c r="C5" t="s">
        <v>47</v>
      </c>
      <c r="D5" t="s">
        <v>57</v>
      </c>
      <c r="E5" s="9">
        <v>175</v>
      </c>
      <c r="F5" t="s">
        <v>58</v>
      </c>
      <c r="G5" s="7" t="s">
        <v>59</v>
      </c>
      <c r="H5" s="7"/>
      <c r="I5" s="5"/>
      <c r="K5" t="s">
        <v>14</v>
      </c>
      <c r="N5" s="9">
        <v>817.74</v>
      </c>
    </row>
    <row r="6" spans="1:14">
      <c r="A6">
        <v>2022</v>
      </c>
      <c r="B6" t="s">
        <v>5</v>
      </c>
      <c r="C6" t="s">
        <v>47</v>
      </c>
      <c r="D6" s="7" t="s">
        <v>60</v>
      </c>
      <c r="E6" s="9">
        <v>75</v>
      </c>
      <c r="F6" t="s">
        <v>61</v>
      </c>
      <c r="G6" s="7" t="s">
        <v>50</v>
      </c>
      <c r="H6" s="7"/>
      <c r="I6" s="5"/>
      <c r="K6" t="s">
        <v>15</v>
      </c>
      <c r="N6" s="9">
        <v>881.6</v>
      </c>
    </row>
    <row r="7" spans="1:14">
      <c r="A7">
        <v>2022</v>
      </c>
      <c r="B7" t="s">
        <v>5</v>
      </c>
      <c r="C7" t="s">
        <v>47</v>
      </c>
      <c r="D7" s="7" t="s">
        <v>62</v>
      </c>
      <c r="E7" s="9">
        <v>193.13</v>
      </c>
      <c r="F7" s="7" t="s">
        <v>62</v>
      </c>
      <c r="G7" t="s">
        <v>59</v>
      </c>
      <c r="I7" s="5"/>
      <c r="K7" t="s">
        <v>16</v>
      </c>
      <c r="N7" s="9">
        <v>999.2</v>
      </c>
    </row>
    <row r="8" spans="1:14">
      <c r="A8">
        <v>2022</v>
      </c>
      <c r="B8" t="s">
        <v>5</v>
      </c>
      <c r="C8" t="s">
        <v>52</v>
      </c>
      <c r="D8" s="7" t="s">
        <v>63</v>
      </c>
      <c r="E8" s="9">
        <v>318.16000000000003</v>
      </c>
      <c r="F8" s="7" t="s">
        <v>63</v>
      </c>
      <c r="G8" t="s">
        <v>50</v>
      </c>
      <c r="I8" s="5"/>
      <c r="K8" t="s">
        <v>17</v>
      </c>
      <c r="N8" s="9">
        <v>1309.6900000000003</v>
      </c>
    </row>
    <row r="9" spans="1:14">
      <c r="A9">
        <v>2022</v>
      </c>
      <c r="B9" t="s">
        <v>5</v>
      </c>
      <c r="C9" t="s">
        <v>52</v>
      </c>
      <c r="D9" s="7" t="s">
        <v>64</v>
      </c>
      <c r="E9" s="9">
        <v>92.8</v>
      </c>
      <c r="F9" t="s">
        <v>65</v>
      </c>
      <c r="G9" s="7" t="s">
        <v>50</v>
      </c>
      <c r="H9" s="7"/>
      <c r="I9" s="5"/>
      <c r="K9" t="s">
        <v>30</v>
      </c>
      <c r="N9" s="9">
        <v>1041.25</v>
      </c>
    </row>
    <row r="10" spans="1:14">
      <c r="A10">
        <v>2022</v>
      </c>
      <c r="B10" t="s">
        <v>5</v>
      </c>
      <c r="C10" t="s">
        <v>52</v>
      </c>
      <c r="D10" s="7" t="s">
        <v>64</v>
      </c>
      <c r="E10" s="9">
        <v>14</v>
      </c>
      <c r="F10" t="s">
        <v>66</v>
      </c>
      <c r="G10" s="7" t="s">
        <v>59</v>
      </c>
      <c r="H10" s="7"/>
      <c r="I10" s="5"/>
      <c r="K10" t="s">
        <v>18</v>
      </c>
      <c r="N10" s="9">
        <v>1299.8999999999996</v>
      </c>
    </row>
    <row r="11" spans="1:14">
      <c r="A11">
        <v>2022</v>
      </c>
      <c r="B11" t="s">
        <v>5</v>
      </c>
      <c r="C11" t="s">
        <v>47</v>
      </c>
      <c r="D11" t="s">
        <v>67</v>
      </c>
      <c r="E11" s="9">
        <v>25</v>
      </c>
      <c r="F11" t="s">
        <v>67</v>
      </c>
      <c r="G11" t="s">
        <v>59</v>
      </c>
      <c r="I11" s="5"/>
      <c r="J11" t="s">
        <v>20</v>
      </c>
      <c r="N11" s="9">
        <v>8671.0300000000007</v>
      </c>
    </row>
    <row r="12" spans="1:14">
      <c r="A12">
        <v>2022</v>
      </c>
      <c r="B12" t="s">
        <v>5</v>
      </c>
      <c r="C12" t="s">
        <v>47</v>
      </c>
      <c r="D12" t="s">
        <v>68</v>
      </c>
      <c r="E12" s="9">
        <v>18</v>
      </c>
      <c r="F12" t="s">
        <v>68</v>
      </c>
      <c r="G12" t="s">
        <v>59</v>
      </c>
      <c r="I12" s="5"/>
      <c r="J12">
        <v>2023</v>
      </c>
      <c r="K12" t="s">
        <v>34</v>
      </c>
      <c r="N12" s="9">
        <v>770.12999999999988</v>
      </c>
    </row>
    <row r="13" spans="1:14">
      <c r="A13">
        <v>2022</v>
      </c>
      <c r="B13" t="s">
        <v>5</v>
      </c>
      <c r="C13" t="s">
        <v>47</v>
      </c>
      <c r="D13" t="s">
        <v>68</v>
      </c>
      <c r="E13" s="9">
        <v>19.8</v>
      </c>
      <c r="F13" t="s">
        <v>68</v>
      </c>
      <c r="G13" t="s">
        <v>59</v>
      </c>
      <c r="I13" s="5"/>
      <c r="K13" t="s">
        <v>35</v>
      </c>
      <c r="N13" s="9">
        <v>589.93999999999994</v>
      </c>
    </row>
    <row r="14" spans="1:14">
      <c r="A14">
        <v>2022</v>
      </c>
      <c r="B14" t="s">
        <v>5</v>
      </c>
      <c r="C14" t="s">
        <v>47</v>
      </c>
      <c r="D14" s="7" t="s">
        <v>60</v>
      </c>
      <c r="E14" s="9">
        <v>190</v>
      </c>
      <c r="F14" t="s">
        <v>69</v>
      </c>
      <c r="G14" s="7" t="s">
        <v>50</v>
      </c>
      <c r="H14" s="7"/>
      <c r="I14" s="5"/>
      <c r="K14" t="s">
        <v>25</v>
      </c>
      <c r="N14" s="9">
        <v>902.68000000000006</v>
      </c>
    </row>
    <row r="15" spans="1:14">
      <c r="A15">
        <v>2022</v>
      </c>
      <c r="B15" t="s">
        <v>5</v>
      </c>
      <c r="C15" t="s">
        <v>47</v>
      </c>
      <c r="D15" t="s">
        <v>68</v>
      </c>
      <c r="E15" s="9">
        <v>3.8</v>
      </c>
      <c r="F15" t="s">
        <v>68</v>
      </c>
      <c r="G15" t="s">
        <v>59</v>
      </c>
      <c r="I15" s="5"/>
      <c r="K15" t="s">
        <v>26</v>
      </c>
      <c r="N15" s="9">
        <v>674.83</v>
      </c>
    </row>
    <row r="16" spans="1:14">
      <c r="A16">
        <v>2022</v>
      </c>
      <c r="B16" t="s">
        <v>5</v>
      </c>
      <c r="C16" t="s">
        <v>52</v>
      </c>
      <c r="D16" s="7" t="s">
        <v>63</v>
      </c>
      <c r="E16" s="9">
        <v>29.63</v>
      </c>
      <c r="F16" s="7" t="s">
        <v>63</v>
      </c>
      <c r="G16" t="s">
        <v>59</v>
      </c>
      <c r="I16" s="5"/>
      <c r="K16" t="s">
        <v>5</v>
      </c>
      <c r="N16" s="9">
        <v>1141.9900000000002</v>
      </c>
    </row>
    <row r="17" spans="1:14">
      <c r="A17">
        <v>2022</v>
      </c>
      <c r="B17" t="s">
        <v>5</v>
      </c>
      <c r="C17" t="s">
        <v>52</v>
      </c>
      <c r="D17" s="7" t="s">
        <v>55</v>
      </c>
      <c r="E17" s="9">
        <v>6.99</v>
      </c>
      <c r="F17" t="s">
        <v>70</v>
      </c>
      <c r="G17" s="7" t="s">
        <v>50</v>
      </c>
      <c r="H17" s="7"/>
      <c r="I17" s="5"/>
      <c r="K17" t="s">
        <v>12</v>
      </c>
      <c r="N17" s="9">
        <v>1129.79</v>
      </c>
    </row>
    <row r="18" spans="1:14">
      <c r="A18">
        <v>2022</v>
      </c>
      <c r="B18" t="s">
        <v>5</v>
      </c>
      <c r="C18" t="s">
        <v>52</v>
      </c>
      <c r="D18" s="7" t="s">
        <v>64</v>
      </c>
      <c r="E18" s="9">
        <v>9.84</v>
      </c>
      <c r="F18" t="s">
        <v>65</v>
      </c>
      <c r="G18" s="7" t="s">
        <v>50</v>
      </c>
      <c r="H18" s="7"/>
      <c r="I18" s="5"/>
      <c r="K18" t="s">
        <v>14</v>
      </c>
      <c r="N18" s="9">
        <v>854.01</v>
      </c>
    </row>
    <row r="19" spans="1:14">
      <c r="A19">
        <v>2022</v>
      </c>
      <c r="B19" t="s">
        <v>5</v>
      </c>
      <c r="C19" t="s">
        <v>52</v>
      </c>
      <c r="D19" s="7" t="s">
        <v>64</v>
      </c>
      <c r="E19" s="9">
        <v>24.97</v>
      </c>
      <c r="F19" t="s">
        <v>65</v>
      </c>
      <c r="G19" s="7" t="s">
        <v>50</v>
      </c>
      <c r="H19" s="7"/>
      <c r="I19" s="5"/>
      <c r="K19" t="s">
        <v>15</v>
      </c>
      <c r="N19" s="9">
        <v>1814.2099999999996</v>
      </c>
    </row>
    <row r="20" spans="1:14">
      <c r="A20">
        <v>2022</v>
      </c>
      <c r="B20" t="s">
        <v>5</v>
      </c>
      <c r="C20" t="s">
        <v>52</v>
      </c>
      <c r="D20" t="s">
        <v>71</v>
      </c>
      <c r="E20" s="9">
        <v>37</v>
      </c>
      <c r="G20" t="s">
        <v>50</v>
      </c>
      <c r="I20" s="5"/>
      <c r="K20" t="s">
        <v>16</v>
      </c>
      <c r="N20" s="9">
        <v>1121.6399999999996</v>
      </c>
    </row>
    <row r="21" spans="1:14">
      <c r="A21">
        <v>2022</v>
      </c>
      <c r="B21" t="s">
        <v>12</v>
      </c>
      <c r="C21" t="s">
        <v>47</v>
      </c>
      <c r="D21" s="7" t="s">
        <v>48</v>
      </c>
      <c r="E21" s="9">
        <v>16.8</v>
      </c>
      <c r="F21" s="7" t="s">
        <v>49</v>
      </c>
      <c r="G21" s="7" t="s">
        <v>50</v>
      </c>
      <c r="H21" s="7"/>
      <c r="I21" s="5"/>
      <c r="K21" t="s">
        <v>17</v>
      </c>
      <c r="N21" s="9">
        <v>1495.22</v>
      </c>
    </row>
    <row r="22" spans="1:14">
      <c r="A22">
        <v>2022</v>
      </c>
      <c r="B22" t="s">
        <v>12</v>
      </c>
      <c r="C22" t="s">
        <v>52</v>
      </c>
      <c r="D22" t="s">
        <v>53</v>
      </c>
      <c r="E22" s="9">
        <v>50.55</v>
      </c>
      <c r="F22" t="s">
        <v>54</v>
      </c>
      <c r="G22" s="7" t="s">
        <v>50</v>
      </c>
      <c r="H22" s="7"/>
      <c r="K22" t="s">
        <v>30</v>
      </c>
      <c r="N22" s="9">
        <v>1606.6299999999999</v>
      </c>
    </row>
    <row r="23" spans="1:14">
      <c r="A23">
        <v>2022</v>
      </c>
      <c r="B23" t="s">
        <v>12</v>
      </c>
      <c r="C23" t="s">
        <v>47</v>
      </c>
      <c r="D23" t="s">
        <v>48</v>
      </c>
      <c r="E23" s="9">
        <v>33</v>
      </c>
      <c r="F23" t="s">
        <v>72</v>
      </c>
      <c r="G23" t="s">
        <v>59</v>
      </c>
      <c r="K23" t="s">
        <v>18</v>
      </c>
      <c r="N23" s="9">
        <v>2001.65</v>
      </c>
    </row>
    <row r="24" spans="1:14">
      <c r="A24">
        <v>2022</v>
      </c>
      <c r="B24" t="s">
        <v>12</v>
      </c>
      <c r="C24" t="s">
        <v>47</v>
      </c>
      <c r="D24" t="s">
        <v>57</v>
      </c>
      <c r="E24" s="9">
        <v>175</v>
      </c>
      <c r="F24" t="s">
        <v>58</v>
      </c>
      <c r="G24" s="7" t="s">
        <v>59</v>
      </c>
      <c r="H24" s="7"/>
      <c r="J24" t="s">
        <v>28</v>
      </c>
      <c r="N24" s="9">
        <v>14102.719999999998</v>
      </c>
    </row>
    <row r="25" spans="1:14">
      <c r="A25">
        <v>2022</v>
      </c>
      <c r="B25" t="s">
        <v>12</v>
      </c>
      <c r="C25" t="s">
        <v>47</v>
      </c>
      <c r="D25" s="7" t="s">
        <v>60</v>
      </c>
      <c r="E25" s="9">
        <v>45</v>
      </c>
      <c r="F25" t="s">
        <v>61</v>
      </c>
      <c r="G25" s="7" t="s">
        <v>50</v>
      </c>
      <c r="H25" s="7"/>
      <c r="J25">
        <v>2024</v>
      </c>
      <c r="K25" t="s">
        <v>34</v>
      </c>
      <c r="N25" s="9">
        <v>1170.5</v>
      </c>
    </row>
    <row r="26" spans="1:14">
      <c r="A26">
        <v>2022</v>
      </c>
      <c r="B26" t="s">
        <v>12</v>
      </c>
      <c r="C26" t="s">
        <v>47</v>
      </c>
      <c r="D26" s="7" t="s">
        <v>60</v>
      </c>
      <c r="E26" s="9">
        <v>36</v>
      </c>
      <c r="F26" t="s">
        <v>61</v>
      </c>
      <c r="G26" s="7" t="s">
        <v>50</v>
      </c>
      <c r="H26" s="7"/>
      <c r="K26" t="s">
        <v>35</v>
      </c>
      <c r="N26" s="9">
        <v>1383.15</v>
      </c>
    </row>
    <row r="27" spans="1:14">
      <c r="A27">
        <v>2022</v>
      </c>
      <c r="B27" t="s">
        <v>12</v>
      </c>
      <c r="C27" t="s">
        <v>47</v>
      </c>
      <c r="D27" s="7" t="s">
        <v>62</v>
      </c>
      <c r="E27" s="9">
        <v>123.68</v>
      </c>
      <c r="F27" s="7" t="s">
        <v>62</v>
      </c>
      <c r="G27" t="s">
        <v>59</v>
      </c>
      <c r="K27" t="s">
        <v>25</v>
      </c>
      <c r="N27" s="9">
        <v>1790.48</v>
      </c>
    </row>
    <row r="28" spans="1:14">
      <c r="A28">
        <v>2022</v>
      </c>
      <c r="B28" t="s">
        <v>12</v>
      </c>
      <c r="C28" t="s">
        <v>52</v>
      </c>
      <c r="D28" s="7" t="s">
        <v>63</v>
      </c>
      <c r="E28" s="9">
        <v>120.5</v>
      </c>
      <c r="F28" s="7" t="s">
        <v>63</v>
      </c>
      <c r="G28" t="s">
        <v>50</v>
      </c>
      <c r="K28" t="s">
        <v>26</v>
      </c>
      <c r="N28" s="9">
        <v>1160.8599999999997</v>
      </c>
    </row>
    <row r="29" spans="1:14">
      <c r="A29">
        <v>2022</v>
      </c>
      <c r="B29" t="s">
        <v>12</v>
      </c>
      <c r="C29" t="s">
        <v>52</v>
      </c>
      <c r="D29" s="7" t="s">
        <v>64</v>
      </c>
      <c r="E29" s="9">
        <v>10.86</v>
      </c>
      <c r="F29" t="s">
        <v>65</v>
      </c>
      <c r="G29" s="7" t="s">
        <v>50</v>
      </c>
      <c r="H29" s="7"/>
      <c r="K29" t="s">
        <v>5</v>
      </c>
      <c r="N29" s="9">
        <v>1019.4</v>
      </c>
    </row>
    <row r="30" spans="1:14">
      <c r="A30">
        <v>2022</v>
      </c>
      <c r="B30" t="s">
        <v>12</v>
      </c>
      <c r="C30" t="s">
        <v>47</v>
      </c>
      <c r="D30" t="s">
        <v>67</v>
      </c>
      <c r="E30" s="9">
        <v>91.5</v>
      </c>
      <c r="F30" t="s">
        <v>67</v>
      </c>
      <c r="G30" t="s">
        <v>59</v>
      </c>
      <c r="K30" t="s">
        <v>12</v>
      </c>
      <c r="N30" s="9">
        <v>917.70999999999992</v>
      </c>
    </row>
    <row r="31" spans="1:14">
      <c r="A31">
        <v>2022</v>
      </c>
      <c r="B31" t="s">
        <v>12</v>
      </c>
      <c r="C31" t="s">
        <v>52</v>
      </c>
      <c r="D31" s="7" t="s">
        <v>68</v>
      </c>
      <c r="E31" s="9">
        <v>12.67</v>
      </c>
      <c r="F31" t="s">
        <v>68</v>
      </c>
      <c r="G31" t="s">
        <v>59</v>
      </c>
      <c r="K31" t="s">
        <v>14</v>
      </c>
      <c r="N31" s="9">
        <v>1071.9099999999999</v>
      </c>
    </row>
    <row r="32" spans="1:14">
      <c r="A32">
        <v>2022</v>
      </c>
      <c r="B32" t="s">
        <v>12</v>
      </c>
      <c r="C32" t="s">
        <v>52</v>
      </c>
      <c r="D32" t="s">
        <v>53</v>
      </c>
      <c r="E32" s="9">
        <v>57.96</v>
      </c>
      <c r="F32" t="s">
        <v>73</v>
      </c>
      <c r="G32" s="7" t="s">
        <v>50</v>
      </c>
      <c r="H32" s="7"/>
      <c r="K32" t="s">
        <v>15</v>
      </c>
      <c r="N32" s="9">
        <v>1153.2200000000003</v>
      </c>
    </row>
    <row r="33" spans="1:14">
      <c r="A33">
        <v>2022</v>
      </c>
      <c r="B33" t="s">
        <v>12</v>
      </c>
      <c r="C33" t="s">
        <v>47</v>
      </c>
      <c r="D33" s="7" t="s">
        <v>60</v>
      </c>
      <c r="E33" s="9">
        <v>8.82</v>
      </c>
      <c r="F33" t="s">
        <v>74</v>
      </c>
      <c r="G33" s="7" t="s">
        <v>50</v>
      </c>
      <c r="H33" s="7"/>
      <c r="K33" t="s">
        <v>16</v>
      </c>
      <c r="N33" s="9">
        <v>1043.7600000000002</v>
      </c>
    </row>
    <row r="34" spans="1:14">
      <c r="A34">
        <v>2022</v>
      </c>
      <c r="B34" t="s">
        <v>12</v>
      </c>
      <c r="C34" t="s">
        <v>52</v>
      </c>
      <c r="D34" t="s">
        <v>75</v>
      </c>
      <c r="E34" s="9">
        <v>50</v>
      </c>
      <c r="F34" t="s">
        <v>75</v>
      </c>
      <c r="G34" s="7" t="s">
        <v>59</v>
      </c>
      <c r="H34" s="7"/>
      <c r="K34" t="s">
        <v>17</v>
      </c>
      <c r="N34" s="9">
        <v>1303.99</v>
      </c>
    </row>
    <row r="35" spans="1:14">
      <c r="A35">
        <v>2022</v>
      </c>
      <c r="B35" t="s">
        <v>12</v>
      </c>
      <c r="C35" t="s">
        <v>52</v>
      </c>
      <c r="D35" s="7" t="s">
        <v>55</v>
      </c>
      <c r="E35" s="9">
        <v>8.49</v>
      </c>
      <c r="F35" t="s">
        <v>76</v>
      </c>
      <c r="G35" s="7" t="s">
        <v>50</v>
      </c>
      <c r="H35" s="7"/>
      <c r="K35" t="s">
        <v>30</v>
      </c>
      <c r="N35" s="9">
        <v>1517.53</v>
      </c>
    </row>
    <row r="36" spans="1:14">
      <c r="A36">
        <v>2022</v>
      </c>
      <c r="B36" t="s">
        <v>14</v>
      </c>
      <c r="C36" t="s">
        <v>47</v>
      </c>
      <c r="D36" s="7" t="s">
        <v>48</v>
      </c>
      <c r="E36" s="9">
        <v>16.8</v>
      </c>
      <c r="F36" s="7" t="s">
        <v>49</v>
      </c>
      <c r="G36" s="7" t="s">
        <v>50</v>
      </c>
      <c r="H36" s="7"/>
      <c r="K36" t="s">
        <v>18</v>
      </c>
      <c r="N36" s="9">
        <v>1870.1200000000003</v>
      </c>
    </row>
    <row r="37" spans="1:14">
      <c r="A37">
        <v>2022</v>
      </c>
      <c r="B37" t="s">
        <v>14</v>
      </c>
      <c r="C37" t="s">
        <v>52</v>
      </c>
      <c r="D37" t="s">
        <v>53</v>
      </c>
      <c r="E37" s="9">
        <v>50.55</v>
      </c>
      <c r="F37" t="s">
        <v>54</v>
      </c>
      <c r="G37" s="7" t="s">
        <v>50</v>
      </c>
      <c r="H37" s="7"/>
      <c r="J37" t="s">
        <v>31</v>
      </c>
      <c r="N37" s="9">
        <v>15402.630000000001</v>
      </c>
    </row>
    <row r="38" spans="1:14">
      <c r="A38">
        <v>2022</v>
      </c>
      <c r="B38" t="s">
        <v>14</v>
      </c>
      <c r="C38" t="s">
        <v>47</v>
      </c>
      <c r="D38" t="s">
        <v>57</v>
      </c>
      <c r="E38" s="9">
        <v>175</v>
      </c>
      <c r="F38" t="s">
        <v>58</v>
      </c>
      <c r="G38" s="7" t="s">
        <v>59</v>
      </c>
      <c r="H38" s="7"/>
      <c r="J38">
        <v>2025</v>
      </c>
      <c r="K38" t="s">
        <v>34</v>
      </c>
      <c r="N38" s="9">
        <v>1711.3299999999997</v>
      </c>
    </row>
    <row r="39" spans="1:14">
      <c r="A39">
        <v>2022</v>
      </c>
      <c r="B39" t="s">
        <v>14</v>
      </c>
      <c r="C39" t="s">
        <v>47</v>
      </c>
      <c r="D39" t="s">
        <v>48</v>
      </c>
      <c r="E39" s="9">
        <v>39</v>
      </c>
      <c r="F39" t="s">
        <v>72</v>
      </c>
      <c r="G39" t="s">
        <v>59</v>
      </c>
      <c r="K39" t="s">
        <v>35</v>
      </c>
      <c r="N39" s="9">
        <v>1512.68</v>
      </c>
    </row>
    <row r="40" spans="1:14">
      <c r="A40">
        <v>2022</v>
      </c>
      <c r="B40" t="s">
        <v>14</v>
      </c>
      <c r="C40" t="s">
        <v>47</v>
      </c>
      <c r="D40" s="7" t="s">
        <v>60</v>
      </c>
      <c r="E40" s="9">
        <v>30</v>
      </c>
      <c r="F40" t="s">
        <v>61</v>
      </c>
      <c r="G40" s="7" t="s">
        <v>50</v>
      </c>
      <c r="H40" s="7"/>
      <c r="K40" t="s">
        <v>25</v>
      </c>
      <c r="N40" s="9">
        <v>1537.03</v>
      </c>
    </row>
    <row r="41" spans="1:14">
      <c r="A41">
        <v>2022</v>
      </c>
      <c r="B41" t="s">
        <v>14</v>
      </c>
      <c r="C41" t="s">
        <v>47</v>
      </c>
      <c r="D41" s="7" t="s">
        <v>62</v>
      </c>
      <c r="E41" s="9">
        <v>223.03</v>
      </c>
      <c r="F41" s="7" t="s">
        <v>62</v>
      </c>
      <c r="G41" t="s">
        <v>59</v>
      </c>
      <c r="K41" t="s">
        <v>26</v>
      </c>
      <c r="N41" s="9">
        <v>2370.4500000000003</v>
      </c>
    </row>
    <row r="42" spans="1:14">
      <c r="A42">
        <v>2022</v>
      </c>
      <c r="B42" t="s">
        <v>14</v>
      </c>
      <c r="C42" t="s">
        <v>52</v>
      </c>
      <c r="D42" s="7" t="s">
        <v>63</v>
      </c>
      <c r="E42" s="9">
        <v>69.7</v>
      </c>
      <c r="F42" s="7" t="s">
        <v>63</v>
      </c>
      <c r="G42" t="s">
        <v>59</v>
      </c>
      <c r="K42" t="s">
        <v>5</v>
      </c>
      <c r="N42" s="9">
        <v>847.74</v>
      </c>
    </row>
    <row r="43" spans="1:14">
      <c r="A43">
        <v>2022</v>
      </c>
      <c r="B43" t="s">
        <v>14</v>
      </c>
      <c r="C43" t="s">
        <v>52</v>
      </c>
      <c r="D43" s="7" t="s">
        <v>64</v>
      </c>
      <c r="E43" s="9">
        <v>51.66</v>
      </c>
      <c r="F43" t="s">
        <v>65</v>
      </c>
      <c r="G43" s="7" t="s">
        <v>50</v>
      </c>
      <c r="H43" s="7"/>
      <c r="K43" t="s">
        <v>12</v>
      </c>
      <c r="N43" s="9">
        <v>1835.8700000000001</v>
      </c>
    </row>
    <row r="44" spans="1:14">
      <c r="A44">
        <v>2022</v>
      </c>
      <c r="B44" t="s">
        <v>14</v>
      </c>
      <c r="C44" t="s">
        <v>47</v>
      </c>
      <c r="D44" t="s">
        <v>68</v>
      </c>
      <c r="E44" s="9">
        <v>33.659999999999997</v>
      </c>
      <c r="F44" t="s">
        <v>68</v>
      </c>
      <c r="G44" t="s">
        <v>59</v>
      </c>
      <c r="K44" t="s">
        <v>14</v>
      </c>
      <c r="N44" s="9">
        <v>1256.75</v>
      </c>
    </row>
    <row r="45" spans="1:14">
      <c r="A45">
        <v>2022</v>
      </c>
      <c r="B45" t="s">
        <v>14</v>
      </c>
      <c r="C45" t="s">
        <v>52</v>
      </c>
      <c r="D45" s="7" t="s">
        <v>63</v>
      </c>
      <c r="E45" s="9">
        <v>6.5</v>
      </c>
      <c r="F45" s="7" t="s">
        <v>63</v>
      </c>
      <c r="G45" t="s">
        <v>59</v>
      </c>
      <c r="K45" t="s">
        <v>15</v>
      </c>
      <c r="N45" s="9">
        <v>1394.47</v>
      </c>
    </row>
    <row r="46" spans="1:14">
      <c r="A46">
        <v>2022</v>
      </c>
      <c r="B46" t="s">
        <v>14</v>
      </c>
      <c r="C46" t="s">
        <v>52</v>
      </c>
      <c r="D46" s="7" t="s">
        <v>64</v>
      </c>
      <c r="E46" s="9">
        <v>121.84</v>
      </c>
      <c r="F46" t="s">
        <v>65</v>
      </c>
      <c r="G46" s="7" t="s">
        <v>50</v>
      </c>
      <c r="H46" s="7"/>
      <c r="K46" t="s">
        <v>16</v>
      </c>
      <c r="N46" s="9">
        <v>1316.71</v>
      </c>
    </row>
    <row r="47" spans="1:14">
      <c r="A47">
        <v>2022</v>
      </c>
      <c r="B47" t="s">
        <v>15</v>
      </c>
      <c r="C47" t="s">
        <v>47</v>
      </c>
      <c r="D47" s="7" t="s">
        <v>48</v>
      </c>
      <c r="E47" s="9">
        <v>16.8</v>
      </c>
      <c r="F47" s="7" t="s">
        <v>49</v>
      </c>
      <c r="G47" s="7" t="s">
        <v>50</v>
      </c>
      <c r="H47" s="7"/>
      <c r="K47" t="s">
        <v>17</v>
      </c>
      <c r="N47" s="9">
        <v>1355.18</v>
      </c>
    </row>
    <row r="48" spans="1:14">
      <c r="A48">
        <v>2022</v>
      </c>
      <c r="B48" t="s">
        <v>15</v>
      </c>
      <c r="C48" t="s">
        <v>47</v>
      </c>
      <c r="D48" t="s">
        <v>57</v>
      </c>
      <c r="E48" s="9">
        <v>175</v>
      </c>
      <c r="F48" t="s">
        <v>58</v>
      </c>
      <c r="G48" s="7" t="s">
        <v>59</v>
      </c>
      <c r="H48" s="7"/>
      <c r="K48" t="s">
        <v>30</v>
      </c>
      <c r="N48" s="9">
        <v>1561.45</v>
      </c>
    </row>
    <row r="49" spans="1:14">
      <c r="A49">
        <v>2022</v>
      </c>
      <c r="B49" t="s">
        <v>15</v>
      </c>
      <c r="C49" t="s">
        <v>47</v>
      </c>
      <c r="D49" t="s">
        <v>48</v>
      </c>
      <c r="E49" s="9">
        <v>50</v>
      </c>
      <c r="F49" t="s">
        <v>72</v>
      </c>
      <c r="G49" t="s">
        <v>59</v>
      </c>
      <c r="K49" t="s">
        <v>18</v>
      </c>
      <c r="N49" s="9">
        <v>1611.6</v>
      </c>
    </row>
    <row r="50" spans="1:14">
      <c r="A50">
        <v>2022</v>
      </c>
      <c r="B50" t="s">
        <v>15</v>
      </c>
      <c r="C50" t="s">
        <v>47</v>
      </c>
      <c r="D50" s="7" t="s">
        <v>60</v>
      </c>
      <c r="E50" s="9">
        <v>50.44</v>
      </c>
      <c r="F50" t="s">
        <v>61</v>
      </c>
      <c r="G50" s="7" t="s">
        <v>50</v>
      </c>
      <c r="H50" s="7"/>
      <c r="J50" t="s">
        <v>33</v>
      </c>
      <c r="N50" s="9">
        <v>18311.259999999998</v>
      </c>
    </row>
    <row r="51" spans="1:14">
      <c r="A51">
        <v>2022</v>
      </c>
      <c r="B51" t="s">
        <v>15</v>
      </c>
      <c r="C51" t="s">
        <v>47</v>
      </c>
      <c r="D51" s="7" t="s">
        <v>62</v>
      </c>
      <c r="E51" s="9">
        <v>274.61</v>
      </c>
      <c r="F51" s="7" t="s">
        <v>62</v>
      </c>
      <c r="G51" t="s">
        <v>59</v>
      </c>
      <c r="J51">
        <v>2026</v>
      </c>
      <c r="K51" t="s">
        <v>34</v>
      </c>
      <c r="N51" s="9">
        <v>1506.4900000000002</v>
      </c>
    </row>
    <row r="52" spans="1:14">
      <c r="A52">
        <v>2022</v>
      </c>
      <c r="B52" t="s">
        <v>15</v>
      </c>
      <c r="C52" t="s">
        <v>52</v>
      </c>
      <c r="D52" s="7" t="s">
        <v>63</v>
      </c>
      <c r="E52" s="9">
        <v>28.8</v>
      </c>
      <c r="F52" s="7" t="s">
        <v>63</v>
      </c>
      <c r="G52" t="s">
        <v>59</v>
      </c>
      <c r="K52" t="s">
        <v>35</v>
      </c>
      <c r="N52" s="9">
        <v>1609.5300000000002</v>
      </c>
    </row>
    <row r="53" spans="1:14">
      <c r="A53">
        <v>2022</v>
      </c>
      <c r="B53" t="s">
        <v>15</v>
      </c>
      <c r="C53" t="s">
        <v>52</v>
      </c>
      <c r="D53" s="7" t="s">
        <v>64</v>
      </c>
      <c r="E53" s="9">
        <v>76.33</v>
      </c>
      <c r="F53" t="s">
        <v>65</v>
      </c>
      <c r="G53" s="7" t="s">
        <v>50</v>
      </c>
      <c r="H53" s="7"/>
      <c r="K53" t="s">
        <v>25</v>
      </c>
      <c r="N53" s="9">
        <v>2031.93</v>
      </c>
    </row>
    <row r="54" spans="1:14">
      <c r="A54">
        <v>2022</v>
      </c>
      <c r="B54" t="s">
        <v>15</v>
      </c>
      <c r="C54" t="s">
        <v>47</v>
      </c>
      <c r="D54" s="7" t="s">
        <v>60</v>
      </c>
      <c r="E54" s="9">
        <v>77.67</v>
      </c>
      <c r="F54" t="s">
        <v>61</v>
      </c>
      <c r="G54" s="7" t="s">
        <v>50</v>
      </c>
      <c r="H54" s="7"/>
      <c r="K54" t="s">
        <v>26</v>
      </c>
      <c r="N54" s="9">
        <v>1411.4099999999999</v>
      </c>
    </row>
    <row r="55" spans="1:14">
      <c r="A55">
        <v>2022</v>
      </c>
      <c r="B55" t="s">
        <v>15</v>
      </c>
      <c r="C55" t="s">
        <v>52</v>
      </c>
      <c r="D55" t="s">
        <v>71</v>
      </c>
      <c r="E55" s="9">
        <v>20</v>
      </c>
      <c r="G55" t="s">
        <v>50</v>
      </c>
      <c r="K55" t="s">
        <v>5</v>
      </c>
      <c r="N55" s="9">
        <v>1354.48</v>
      </c>
    </row>
    <row r="56" spans="1:14">
      <c r="A56">
        <v>2022</v>
      </c>
      <c r="B56" t="s">
        <v>15</v>
      </c>
      <c r="C56" t="s">
        <v>52</v>
      </c>
      <c r="D56" t="s">
        <v>64</v>
      </c>
      <c r="E56" s="9">
        <v>101.95</v>
      </c>
      <c r="F56" t="s">
        <v>29</v>
      </c>
      <c r="G56" s="7" t="s">
        <v>50</v>
      </c>
      <c r="H56" s="7"/>
      <c r="K56" t="s">
        <v>12</v>
      </c>
      <c r="N56" s="9">
        <v>2807.5499999999997</v>
      </c>
    </row>
    <row r="57" spans="1:14">
      <c r="A57">
        <v>2022</v>
      </c>
      <c r="B57" t="s">
        <v>15</v>
      </c>
      <c r="C57" t="s">
        <v>52</v>
      </c>
      <c r="D57" t="s">
        <v>63</v>
      </c>
      <c r="E57" s="9">
        <v>10</v>
      </c>
      <c r="F57" s="7" t="s">
        <v>63</v>
      </c>
      <c r="G57" t="s">
        <v>59</v>
      </c>
      <c r="J57" t="s">
        <v>36</v>
      </c>
      <c r="N57" s="9">
        <v>10721.39</v>
      </c>
    </row>
    <row r="58" spans="1:14">
      <c r="A58">
        <v>2022</v>
      </c>
      <c r="B58" t="s">
        <v>16</v>
      </c>
      <c r="C58" t="s">
        <v>47</v>
      </c>
      <c r="D58" s="7" t="s">
        <v>48</v>
      </c>
      <c r="E58" s="9">
        <v>16.8</v>
      </c>
      <c r="F58" s="7" t="s">
        <v>49</v>
      </c>
      <c r="G58" s="7" t="s">
        <v>50</v>
      </c>
      <c r="H58" s="7"/>
      <c r="J58" t="s">
        <v>77</v>
      </c>
      <c r="N58" s="9">
        <v>67209.03</v>
      </c>
    </row>
    <row r="59" spans="1:14">
      <c r="A59">
        <v>2022</v>
      </c>
      <c r="B59" t="s">
        <v>16</v>
      </c>
      <c r="C59" t="s">
        <v>47</v>
      </c>
      <c r="D59" t="s">
        <v>57</v>
      </c>
      <c r="E59" s="9">
        <v>175</v>
      </c>
      <c r="F59" t="s">
        <v>58</v>
      </c>
      <c r="G59" s="7" t="s">
        <v>59</v>
      </c>
      <c r="H59" s="7"/>
    </row>
    <row r="60" spans="1:14">
      <c r="A60">
        <v>2022</v>
      </c>
      <c r="B60" t="s">
        <v>16</v>
      </c>
      <c r="C60" t="s">
        <v>47</v>
      </c>
      <c r="D60" t="s">
        <v>48</v>
      </c>
      <c r="E60" s="9">
        <v>65</v>
      </c>
      <c r="F60" t="s">
        <v>72</v>
      </c>
      <c r="G60" t="s">
        <v>59</v>
      </c>
    </row>
    <row r="61" spans="1:14">
      <c r="A61">
        <v>2022</v>
      </c>
      <c r="B61" t="s">
        <v>16</v>
      </c>
      <c r="C61" t="s">
        <v>47</v>
      </c>
      <c r="D61" s="7" t="s">
        <v>60</v>
      </c>
      <c r="E61" s="9">
        <v>81.099999999999994</v>
      </c>
      <c r="F61" t="s">
        <v>61</v>
      </c>
      <c r="G61" s="7" t="s">
        <v>50</v>
      </c>
      <c r="H61" s="7"/>
    </row>
    <row r="62" spans="1:14">
      <c r="A62">
        <v>2022</v>
      </c>
      <c r="B62" t="s">
        <v>16</v>
      </c>
      <c r="C62" t="s">
        <v>47</v>
      </c>
      <c r="D62" s="7" t="s">
        <v>62</v>
      </c>
      <c r="E62" s="9">
        <v>87.56</v>
      </c>
      <c r="F62" s="7" t="s">
        <v>62</v>
      </c>
      <c r="G62" t="s">
        <v>59</v>
      </c>
    </row>
    <row r="63" spans="1:14">
      <c r="A63">
        <v>2022</v>
      </c>
      <c r="B63" t="s">
        <v>16</v>
      </c>
      <c r="C63" t="s">
        <v>47</v>
      </c>
      <c r="D63" s="7" t="s">
        <v>60</v>
      </c>
      <c r="E63" s="9">
        <v>19.899999999999999</v>
      </c>
      <c r="F63" t="s">
        <v>61</v>
      </c>
      <c r="G63" s="7" t="s">
        <v>50</v>
      </c>
      <c r="H63" s="7"/>
    </row>
    <row r="64" spans="1:14">
      <c r="A64">
        <v>2022</v>
      </c>
      <c r="B64" t="s">
        <v>16</v>
      </c>
      <c r="C64" t="s">
        <v>47</v>
      </c>
      <c r="D64" s="7" t="s">
        <v>60</v>
      </c>
      <c r="E64" s="9">
        <v>164.79</v>
      </c>
      <c r="F64" t="s">
        <v>69</v>
      </c>
      <c r="G64" s="7" t="s">
        <v>50</v>
      </c>
      <c r="H64" s="7"/>
    </row>
    <row r="65" spans="1:8">
      <c r="A65">
        <v>2022</v>
      </c>
      <c r="B65" t="s">
        <v>16</v>
      </c>
      <c r="C65" t="s">
        <v>47</v>
      </c>
      <c r="D65" s="7" t="s">
        <v>62</v>
      </c>
      <c r="E65" s="9">
        <v>31.03</v>
      </c>
      <c r="F65" s="7" t="s">
        <v>62</v>
      </c>
      <c r="G65" t="s">
        <v>59</v>
      </c>
    </row>
    <row r="66" spans="1:8">
      <c r="A66">
        <v>2022</v>
      </c>
      <c r="B66" t="s">
        <v>16</v>
      </c>
      <c r="C66" t="s">
        <v>52</v>
      </c>
      <c r="D66" s="7" t="s">
        <v>63</v>
      </c>
      <c r="E66" s="9">
        <v>35.97</v>
      </c>
      <c r="F66" s="7" t="s">
        <v>63</v>
      </c>
      <c r="G66" t="s">
        <v>59</v>
      </c>
    </row>
    <row r="67" spans="1:8">
      <c r="A67">
        <v>2022</v>
      </c>
      <c r="B67" t="s">
        <v>16</v>
      </c>
      <c r="C67" t="s">
        <v>52</v>
      </c>
      <c r="D67" s="7" t="s">
        <v>63</v>
      </c>
      <c r="E67" s="9">
        <v>63.21</v>
      </c>
      <c r="F67" s="7" t="s">
        <v>63</v>
      </c>
      <c r="G67" t="s">
        <v>59</v>
      </c>
    </row>
    <row r="68" spans="1:8">
      <c r="A68">
        <v>2022</v>
      </c>
      <c r="B68" t="s">
        <v>16</v>
      </c>
      <c r="C68" t="s">
        <v>52</v>
      </c>
      <c r="D68" t="s">
        <v>53</v>
      </c>
      <c r="E68" s="9">
        <v>36.340000000000003</v>
      </c>
      <c r="F68" t="s">
        <v>78</v>
      </c>
      <c r="G68" s="7" t="s">
        <v>50</v>
      </c>
      <c r="H68" s="7"/>
    </row>
    <row r="69" spans="1:8">
      <c r="A69">
        <v>2022</v>
      </c>
      <c r="B69" t="s">
        <v>16</v>
      </c>
      <c r="C69" t="s">
        <v>47</v>
      </c>
      <c r="D69" t="s">
        <v>67</v>
      </c>
      <c r="E69" s="9">
        <v>17</v>
      </c>
      <c r="F69" t="s">
        <v>67</v>
      </c>
      <c r="G69" t="s">
        <v>59</v>
      </c>
    </row>
    <row r="70" spans="1:8">
      <c r="A70">
        <v>2022</v>
      </c>
      <c r="B70" t="s">
        <v>16</v>
      </c>
      <c r="C70" t="s">
        <v>52</v>
      </c>
      <c r="D70" t="s">
        <v>75</v>
      </c>
      <c r="E70" s="9">
        <v>205.5</v>
      </c>
      <c r="F70" t="s">
        <v>75</v>
      </c>
      <c r="G70" s="7" t="s">
        <v>59</v>
      </c>
      <c r="H70" s="7"/>
    </row>
    <row r="71" spans="1:8">
      <c r="A71">
        <v>2022</v>
      </c>
      <c r="B71" t="s">
        <v>17</v>
      </c>
      <c r="C71" t="s">
        <v>47</v>
      </c>
      <c r="D71" s="7" t="s">
        <v>48</v>
      </c>
      <c r="E71" s="9">
        <v>16.8</v>
      </c>
      <c r="F71" s="7" t="s">
        <v>49</v>
      </c>
      <c r="G71" s="7" t="s">
        <v>50</v>
      </c>
      <c r="H71" s="7"/>
    </row>
    <row r="72" spans="1:8">
      <c r="A72">
        <v>2022</v>
      </c>
      <c r="B72" t="s">
        <v>17</v>
      </c>
      <c r="C72" t="s">
        <v>47</v>
      </c>
      <c r="D72" t="s">
        <v>57</v>
      </c>
      <c r="E72" s="9">
        <v>175</v>
      </c>
      <c r="F72" t="s">
        <v>58</v>
      </c>
      <c r="G72" s="7" t="s">
        <v>59</v>
      </c>
      <c r="H72" s="7"/>
    </row>
    <row r="73" spans="1:8">
      <c r="A73">
        <v>2022</v>
      </c>
      <c r="B73" t="s">
        <v>17</v>
      </c>
      <c r="C73" t="s">
        <v>47</v>
      </c>
      <c r="D73" t="s">
        <v>48</v>
      </c>
      <c r="E73" s="9">
        <v>97.5</v>
      </c>
      <c r="F73" t="s">
        <v>72</v>
      </c>
      <c r="G73" s="7" t="s">
        <v>59</v>
      </c>
      <c r="H73" s="7"/>
    </row>
    <row r="74" spans="1:8">
      <c r="A74">
        <v>2022</v>
      </c>
      <c r="B74" t="s">
        <v>17</v>
      </c>
      <c r="C74" t="s">
        <v>47</v>
      </c>
      <c r="D74" s="7" t="s">
        <v>60</v>
      </c>
      <c r="E74" s="9">
        <v>40.04</v>
      </c>
      <c r="F74" t="s">
        <v>61</v>
      </c>
      <c r="G74" s="7" t="s">
        <v>50</v>
      </c>
      <c r="H74" s="7"/>
    </row>
    <row r="75" spans="1:8">
      <c r="A75">
        <v>2022</v>
      </c>
      <c r="B75" t="s">
        <v>17</v>
      </c>
      <c r="C75" t="s">
        <v>47</v>
      </c>
      <c r="D75" s="7" t="s">
        <v>62</v>
      </c>
      <c r="E75" s="9">
        <v>180.62</v>
      </c>
      <c r="F75" s="7" t="s">
        <v>62</v>
      </c>
      <c r="G75" t="s">
        <v>59</v>
      </c>
    </row>
    <row r="76" spans="1:8">
      <c r="A76">
        <v>2022</v>
      </c>
      <c r="B76" t="s">
        <v>17</v>
      </c>
      <c r="C76" t="s">
        <v>47</v>
      </c>
      <c r="D76" s="7" t="s">
        <v>60</v>
      </c>
      <c r="E76" s="9">
        <v>73.459999999999994</v>
      </c>
      <c r="F76" t="s">
        <v>61</v>
      </c>
      <c r="G76" s="7" t="s">
        <v>50</v>
      </c>
      <c r="H76" s="7"/>
    </row>
    <row r="77" spans="1:8">
      <c r="A77">
        <v>2022</v>
      </c>
      <c r="B77" t="s">
        <v>17</v>
      </c>
      <c r="C77" t="s">
        <v>47</v>
      </c>
      <c r="D77" s="7" t="s">
        <v>60</v>
      </c>
      <c r="E77" s="9">
        <v>20.07</v>
      </c>
      <c r="F77" t="s">
        <v>61</v>
      </c>
      <c r="G77" t="s">
        <v>50</v>
      </c>
    </row>
    <row r="78" spans="1:8">
      <c r="A78">
        <v>2022</v>
      </c>
      <c r="B78" t="s">
        <v>17</v>
      </c>
      <c r="C78" t="s">
        <v>47</v>
      </c>
      <c r="D78" s="7" t="s">
        <v>60</v>
      </c>
      <c r="E78" s="9">
        <v>30</v>
      </c>
      <c r="F78" t="s">
        <v>69</v>
      </c>
      <c r="G78" t="s">
        <v>50</v>
      </c>
    </row>
    <row r="79" spans="1:8">
      <c r="A79">
        <v>2022</v>
      </c>
      <c r="B79" t="s">
        <v>17</v>
      </c>
      <c r="C79" t="s">
        <v>47</v>
      </c>
      <c r="D79" s="7" t="s">
        <v>60</v>
      </c>
      <c r="E79" s="9">
        <v>268.08999999999997</v>
      </c>
      <c r="F79" t="s">
        <v>79</v>
      </c>
      <c r="G79" t="s">
        <v>50</v>
      </c>
    </row>
    <row r="80" spans="1:8">
      <c r="A80">
        <v>2022</v>
      </c>
      <c r="B80" t="s">
        <v>17</v>
      </c>
      <c r="C80" t="s">
        <v>47</v>
      </c>
      <c r="D80" t="s">
        <v>68</v>
      </c>
      <c r="E80" s="9">
        <v>22.59</v>
      </c>
      <c r="F80" t="s">
        <v>68</v>
      </c>
      <c r="G80" t="s">
        <v>59</v>
      </c>
    </row>
    <row r="81" spans="1:8">
      <c r="A81">
        <v>2022</v>
      </c>
      <c r="B81" t="s">
        <v>17</v>
      </c>
      <c r="C81" t="s">
        <v>47</v>
      </c>
      <c r="D81" s="7" t="s">
        <v>62</v>
      </c>
      <c r="E81" s="9">
        <v>22.06</v>
      </c>
      <c r="F81" s="7" t="s">
        <v>62</v>
      </c>
      <c r="G81" t="s">
        <v>59</v>
      </c>
    </row>
    <row r="82" spans="1:8">
      <c r="A82">
        <v>2022</v>
      </c>
      <c r="B82" t="s">
        <v>17</v>
      </c>
      <c r="C82" t="s">
        <v>52</v>
      </c>
      <c r="D82" s="7" t="s">
        <v>63</v>
      </c>
      <c r="E82" s="9">
        <v>79.069999999999993</v>
      </c>
      <c r="F82" s="7" t="s">
        <v>63</v>
      </c>
      <c r="G82" t="s">
        <v>59</v>
      </c>
    </row>
    <row r="83" spans="1:8">
      <c r="A83">
        <v>2022</v>
      </c>
      <c r="B83" t="s">
        <v>17</v>
      </c>
      <c r="C83" t="s">
        <v>52</v>
      </c>
      <c r="D83" s="7" t="s">
        <v>63</v>
      </c>
      <c r="E83" s="9">
        <v>34.4</v>
      </c>
      <c r="F83" s="7" t="s">
        <v>63</v>
      </c>
      <c r="G83" t="s">
        <v>59</v>
      </c>
    </row>
    <row r="84" spans="1:8">
      <c r="A84">
        <v>2022</v>
      </c>
      <c r="B84" t="s">
        <v>17</v>
      </c>
      <c r="C84" t="s">
        <v>52</v>
      </c>
      <c r="D84" s="7" t="s">
        <v>64</v>
      </c>
      <c r="E84" s="9">
        <v>11.79</v>
      </c>
      <c r="F84" t="s">
        <v>65</v>
      </c>
      <c r="G84" s="7" t="s">
        <v>50</v>
      </c>
      <c r="H84" s="7"/>
    </row>
    <row r="85" spans="1:8">
      <c r="A85">
        <v>2022</v>
      </c>
      <c r="B85" t="s">
        <v>17</v>
      </c>
      <c r="C85" t="s">
        <v>52</v>
      </c>
      <c r="D85" t="s">
        <v>53</v>
      </c>
      <c r="E85" s="9">
        <v>209.93</v>
      </c>
      <c r="F85" t="s">
        <v>78</v>
      </c>
      <c r="G85" s="7" t="s">
        <v>50</v>
      </c>
      <c r="H85" s="7"/>
    </row>
    <row r="86" spans="1:8">
      <c r="A86">
        <v>2022</v>
      </c>
      <c r="B86" t="s">
        <v>30</v>
      </c>
      <c r="C86" t="s">
        <v>47</v>
      </c>
      <c r="D86" s="7" t="s">
        <v>48</v>
      </c>
      <c r="E86" s="9">
        <v>16.8</v>
      </c>
      <c r="F86" s="7" t="s">
        <v>49</v>
      </c>
      <c r="G86" s="7" t="s">
        <v>50</v>
      </c>
      <c r="H86" s="7"/>
    </row>
    <row r="87" spans="1:8">
      <c r="A87">
        <v>2022</v>
      </c>
      <c r="B87" t="s">
        <v>30</v>
      </c>
      <c r="C87" t="s">
        <v>47</v>
      </c>
      <c r="D87" t="s">
        <v>57</v>
      </c>
      <c r="E87" s="9">
        <v>175</v>
      </c>
      <c r="F87" t="s">
        <v>58</v>
      </c>
      <c r="G87" s="7" t="s">
        <v>59</v>
      </c>
      <c r="H87" s="7"/>
    </row>
    <row r="88" spans="1:8">
      <c r="A88">
        <v>2022</v>
      </c>
      <c r="B88" t="s">
        <v>30</v>
      </c>
      <c r="C88" t="s">
        <v>47</v>
      </c>
      <c r="D88" t="s">
        <v>48</v>
      </c>
      <c r="E88" s="9">
        <v>27.5</v>
      </c>
      <c r="F88" t="s">
        <v>72</v>
      </c>
      <c r="G88" s="7" t="s">
        <v>59</v>
      </c>
      <c r="H88" s="7"/>
    </row>
    <row r="89" spans="1:8">
      <c r="A89">
        <v>2022</v>
      </c>
      <c r="B89" t="s">
        <v>30</v>
      </c>
      <c r="C89" t="s">
        <v>47</v>
      </c>
      <c r="D89" s="7" t="s">
        <v>60</v>
      </c>
      <c r="E89" s="9">
        <v>62.27</v>
      </c>
      <c r="F89" t="s">
        <v>61</v>
      </c>
      <c r="G89" s="7" t="s">
        <v>50</v>
      </c>
      <c r="H89" s="7"/>
    </row>
    <row r="90" spans="1:8">
      <c r="A90">
        <v>2022</v>
      </c>
      <c r="B90" t="s">
        <v>30</v>
      </c>
      <c r="C90" t="s">
        <v>47</v>
      </c>
      <c r="D90" s="7" t="s">
        <v>62</v>
      </c>
      <c r="E90" s="9">
        <v>126.14</v>
      </c>
      <c r="F90" s="7" t="s">
        <v>62</v>
      </c>
      <c r="G90" t="s">
        <v>59</v>
      </c>
    </row>
    <row r="91" spans="1:8">
      <c r="A91">
        <v>2022</v>
      </c>
      <c r="B91" t="s">
        <v>30</v>
      </c>
      <c r="C91" t="s">
        <v>47</v>
      </c>
      <c r="D91" t="s">
        <v>68</v>
      </c>
      <c r="E91" s="9">
        <v>20.62</v>
      </c>
      <c r="F91" t="s">
        <v>68</v>
      </c>
      <c r="G91" s="7" t="s">
        <v>50</v>
      </c>
      <c r="H91" s="7"/>
    </row>
    <row r="92" spans="1:8">
      <c r="A92">
        <v>2022</v>
      </c>
      <c r="B92" t="s">
        <v>30</v>
      </c>
      <c r="C92" t="s">
        <v>47</v>
      </c>
      <c r="D92" s="7" t="s">
        <v>60</v>
      </c>
      <c r="E92" s="9">
        <v>70</v>
      </c>
      <c r="F92" t="s">
        <v>80</v>
      </c>
      <c r="G92" t="s">
        <v>59</v>
      </c>
    </row>
    <row r="93" spans="1:8">
      <c r="A93">
        <v>2022</v>
      </c>
      <c r="B93" t="s">
        <v>30</v>
      </c>
      <c r="C93" t="s">
        <v>52</v>
      </c>
      <c r="D93" t="s">
        <v>53</v>
      </c>
      <c r="E93" s="9">
        <v>368.76</v>
      </c>
      <c r="F93" t="s">
        <v>78</v>
      </c>
      <c r="G93" s="7" t="s">
        <v>50</v>
      </c>
      <c r="H93" s="7"/>
    </row>
    <row r="94" spans="1:8">
      <c r="A94">
        <v>2022</v>
      </c>
      <c r="B94" t="s">
        <v>30</v>
      </c>
      <c r="C94" t="s">
        <v>52</v>
      </c>
      <c r="D94" s="7" t="s">
        <v>63</v>
      </c>
      <c r="E94" s="9">
        <v>19.38</v>
      </c>
      <c r="F94" s="7" t="s">
        <v>63</v>
      </c>
      <c r="G94" t="s">
        <v>59</v>
      </c>
    </row>
    <row r="95" spans="1:8">
      <c r="A95">
        <v>2022</v>
      </c>
      <c r="B95" t="s">
        <v>30</v>
      </c>
      <c r="C95" t="s">
        <v>52</v>
      </c>
      <c r="D95" s="7" t="s">
        <v>63</v>
      </c>
      <c r="E95" s="9">
        <v>21</v>
      </c>
      <c r="F95" s="7" t="s">
        <v>63</v>
      </c>
      <c r="G95" t="s">
        <v>59</v>
      </c>
    </row>
    <row r="96" spans="1:8">
      <c r="A96">
        <v>2022</v>
      </c>
      <c r="B96" t="s">
        <v>30</v>
      </c>
      <c r="C96" t="s">
        <v>52</v>
      </c>
      <c r="D96" s="7" t="s">
        <v>64</v>
      </c>
      <c r="E96" s="9">
        <v>73.540000000000006</v>
      </c>
      <c r="F96" t="s">
        <v>65</v>
      </c>
      <c r="G96" s="7" t="s">
        <v>50</v>
      </c>
      <c r="H96" s="7"/>
    </row>
    <row r="97" spans="1:8">
      <c r="A97">
        <v>2022</v>
      </c>
      <c r="B97" t="s">
        <v>18</v>
      </c>
      <c r="C97" t="s">
        <v>47</v>
      </c>
      <c r="D97" t="s">
        <v>57</v>
      </c>
      <c r="E97" s="9">
        <v>175</v>
      </c>
      <c r="F97" t="s">
        <v>58</v>
      </c>
      <c r="G97" s="7" t="s">
        <v>59</v>
      </c>
      <c r="H97" s="7"/>
    </row>
    <row r="98" spans="1:8">
      <c r="A98">
        <v>2022</v>
      </c>
      <c r="B98" t="s">
        <v>18</v>
      </c>
      <c r="C98" t="s">
        <v>47</v>
      </c>
      <c r="D98" t="s">
        <v>48</v>
      </c>
      <c r="E98" s="9">
        <v>44.75</v>
      </c>
      <c r="F98" t="s">
        <v>72</v>
      </c>
      <c r="G98" t="s">
        <v>59</v>
      </c>
    </row>
    <row r="99" spans="1:8">
      <c r="A99">
        <v>2022</v>
      </c>
      <c r="B99" t="s">
        <v>18</v>
      </c>
      <c r="C99" t="s">
        <v>47</v>
      </c>
      <c r="D99" s="7" t="s">
        <v>60</v>
      </c>
      <c r="E99" s="9">
        <v>50</v>
      </c>
      <c r="F99" t="s">
        <v>61</v>
      </c>
      <c r="G99" t="s">
        <v>50</v>
      </c>
    </row>
    <row r="100" spans="1:8">
      <c r="A100">
        <v>2022</v>
      </c>
      <c r="B100" t="s">
        <v>18</v>
      </c>
      <c r="C100" t="s">
        <v>47</v>
      </c>
      <c r="D100" s="7" t="s">
        <v>62</v>
      </c>
      <c r="E100" s="9">
        <v>133.29</v>
      </c>
      <c r="F100" s="7" t="s">
        <v>62</v>
      </c>
      <c r="G100" t="s">
        <v>59</v>
      </c>
    </row>
    <row r="101" spans="1:8">
      <c r="A101">
        <v>2022</v>
      </c>
      <c r="B101" t="s">
        <v>18</v>
      </c>
      <c r="C101" t="s">
        <v>47</v>
      </c>
      <c r="D101" t="s">
        <v>68</v>
      </c>
      <c r="E101" s="9">
        <v>34.56</v>
      </c>
      <c r="F101" t="s">
        <v>68</v>
      </c>
      <c r="G101" t="s">
        <v>59</v>
      </c>
    </row>
    <row r="102" spans="1:8">
      <c r="A102">
        <v>2022</v>
      </c>
      <c r="B102" t="s">
        <v>18</v>
      </c>
      <c r="C102" t="s">
        <v>47</v>
      </c>
      <c r="D102" s="7" t="s">
        <v>60</v>
      </c>
      <c r="E102" s="9">
        <v>34.92</v>
      </c>
      <c r="F102" t="s">
        <v>69</v>
      </c>
      <c r="G102" t="s">
        <v>50</v>
      </c>
    </row>
    <row r="103" spans="1:8">
      <c r="A103">
        <v>2022</v>
      </c>
      <c r="B103" t="s">
        <v>18</v>
      </c>
      <c r="C103" t="s">
        <v>52</v>
      </c>
      <c r="D103" t="s">
        <v>53</v>
      </c>
      <c r="E103" s="9">
        <v>209.8</v>
      </c>
      <c r="F103" t="s">
        <v>78</v>
      </c>
      <c r="G103" s="7" t="s">
        <v>50</v>
      </c>
      <c r="H103" s="7"/>
    </row>
    <row r="104" spans="1:8">
      <c r="A104">
        <v>2022</v>
      </c>
      <c r="B104" t="s">
        <v>18</v>
      </c>
      <c r="C104" t="s">
        <v>52</v>
      </c>
      <c r="D104" s="7" t="s">
        <v>63</v>
      </c>
      <c r="E104" s="9">
        <v>17.78</v>
      </c>
      <c r="F104" s="7" t="s">
        <v>63</v>
      </c>
      <c r="G104" t="s">
        <v>59</v>
      </c>
    </row>
    <row r="105" spans="1:8">
      <c r="A105">
        <v>2022</v>
      </c>
      <c r="B105" t="s">
        <v>18</v>
      </c>
      <c r="C105" t="s">
        <v>52</v>
      </c>
      <c r="D105" s="7" t="s">
        <v>63</v>
      </c>
      <c r="E105" s="9">
        <v>55.3</v>
      </c>
      <c r="F105" s="7" t="s">
        <v>63</v>
      </c>
      <c r="G105" t="s">
        <v>59</v>
      </c>
    </row>
    <row r="106" spans="1:8">
      <c r="A106">
        <v>2022</v>
      </c>
      <c r="B106" t="s">
        <v>18</v>
      </c>
      <c r="C106" t="s">
        <v>52</v>
      </c>
      <c r="D106" s="7" t="s">
        <v>64</v>
      </c>
      <c r="E106" s="9">
        <v>40</v>
      </c>
      <c r="F106" t="s">
        <v>65</v>
      </c>
      <c r="G106" s="7" t="s">
        <v>50</v>
      </c>
      <c r="H106" s="7"/>
    </row>
    <row r="107" spans="1:8">
      <c r="A107">
        <v>2022</v>
      </c>
      <c r="B107" t="s">
        <v>18</v>
      </c>
      <c r="C107" t="s">
        <v>47</v>
      </c>
      <c r="D107" s="7" t="s">
        <v>48</v>
      </c>
      <c r="E107" s="9">
        <v>16.8</v>
      </c>
      <c r="F107" s="7" t="s">
        <v>49</v>
      </c>
      <c r="G107" s="7" t="s">
        <v>50</v>
      </c>
      <c r="H107" s="7"/>
    </row>
    <row r="108" spans="1:8">
      <c r="A108">
        <v>2022</v>
      </c>
      <c r="B108" t="s">
        <v>18</v>
      </c>
      <c r="C108" t="s">
        <v>47</v>
      </c>
      <c r="D108" s="7" t="s">
        <v>81</v>
      </c>
      <c r="E108" s="9">
        <v>139</v>
      </c>
      <c r="F108" s="7" t="s">
        <v>81</v>
      </c>
      <c r="G108" s="7" t="s">
        <v>50</v>
      </c>
      <c r="H108" s="7"/>
    </row>
    <row r="109" spans="1:8">
      <c r="A109">
        <v>2022</v>
      </c>
      <c r="B109" t="s">
        <v>18</v>
      </c>
      <c r="C109" t="s">
        <v>47</v>
      </c>
      <c r="D109" s="7" t="s">
        <v>60</v>
      </c>
      <c r="E109" s="9">
        <v>55.41</v>
      </c>
      <c r="F109" t="s">
        <v>61</v>
      </c>
      <c r="G109" t="s">
        <v>50</v>
      </c>
    </row>
    <row r="110" spans="1:8">
      <c r="A110">
        <v>2022</v>
      </c>
      <c r="B110" t="s">
        <v>18</v>
      </c>
      <c r="C110" t="s">
        <v>47</v>
      </c>
      <c r="D110" s="7" t="s">
        <v>60</v>
      </c>
      <c r="E110" s="9">
        <v>120.91</v>
      </c>
      <c r="F110" t="s">
        <v>82</v>
      </c>
      <c r="G110" s="7" t="s">
        <v>59</v>
      </c>
      <c r="H110" s="7"/>
    </row>
    <row r="111" spans="1:8">
      <c r="A111">
        <v>2022</v>
      </c>
      <c r="B111" t="s">
        <v>18</v>
      </c>
      <c r="C111" t="s">
        <v>47</v>
      </c>
      <c r="D111" s="7" t="s">
        <v>60</v>
      </c>
      <c r="E111" s="9">
        <v>31.8</v>
      </c>
      <c r="F111" t="s">
        <v>80</v>
      </c>
      <c r="G111" t="s">
        <v>59</v>
      </c>
    </row>
    <row r="112" spans="1:8">
      <c r="A112">
        <v>2023</v>
      </c>
      <c r="B112" t="s">
        <v>34</v>
      </c>
      <c r="C112" t="s">
        <v>47</v>
      </c>
      <c r="D112" t="s">
        <v>57</v>
      </c>
      <c r="E112" s="9">
        <v>175</v>
      </c>
      <c r="F112" t="s">
        <v>58</v>
      </c>
      <c r="G112" s="7" t="s">
        <v>59</v>
      </c>
      <c r="H112" s="7" t="s">
        <v>83</v>
      </c>
    </row>
    <row r="113" spans="1:8">
      <c r="A113">
        <v>2023</v>
      </c>
      <c r="B113" t="s">
        <v>34</v>
      </c>
      <c r="C113" t="s">
        <v>47</v>
      </c>
      <c r="D113" t="s">
        <v>48</v>
      </c>
      <c r="E113" s="9">
        <v>64.8</v>
      </c>
      <c r="F113" t="s">
        <v>72</v>
      </c>
      <c r="G113" t="s">
        <v>59</v>
      </c>
      <c r="H113" s="7" t="s">
        <v>83</v>
      </c>
    </row>
    <row r="114" spans="1:8">
      <c r="A114">
        <v>2023</v>
      </c>
      <c r="B114" t="s">
        <v>34</v>
      </c>
      <c r="C114" t="s">
        <v>47</v>
      </c>
      <c r="D114" s="7" t="s">
        <v>60</v>
      </c>
      <c r="E114" s="9">
        <v>64.38</v>
      </c>
      <c r="F114" t="s">
        <v>61</v>
      </c>
      <c r="G114" t="s">
        <v>50</v>
      </c>
      <c r="H114" t="s">
        <v>84</v>
      </c>
    </row>
    <row r="115" spans="1:8">
      <c r="A115">
        <v>2023</v>
      </c>
      <c r="B115" t="s">
        <v>34</v>
      </c>
      <c r="C115" t="s">
        <v>47</v>
      </c>
      <c r="D115" s="7" t="s">
        <v>62</v>
      </c>
      <c r="E115" s="9">
        <v>139.19999999999999</v>
      </c>
      <c r="F115" s="7" t="s">
        <v>62</v>
      </c>
      <c r="G115" t="s">
        <v>59</v>
      </c>
      <c r="H115" t="s">
        <v>84</v>
      </c>
    </row>
    <row r="116" spans="1:8">
      <c r="A116">
        <v>2023</v>
      </c>
      <c r="B116" t="s">
        <v>34</v>
      </c>
      <c r="C116" t="s">
        <v>47</v>
      </c>
      <c r="D116" t="s">
        <v>68</v>
      </c>
      <c r="E116" s="9">
        <v>14.9</v>
      </c>
      <c r="F116" t="s">
        <v>68</v>
      </c>
      <c r="G116" t="s">
        <v>59</v>
      </c>
      <c r="H116" t="s">
        <v>84</v>
      </c>
    </row>
    <row r="117" spans="1:8">
      <c r="A117">
        <v>2023</v>
      </c>
      <c r="B117" t="s">
        <v>34</v>
      </c>
      <c r="C117" t="s">
        <v>52</v>
      </c>
      <c r="D117" t="s">
        <v>53</v>
      </c>
      <c r="E117" s="9">
        <v>100</v>
      </c>
      <c r="F117" t="s">
        <v>78</v>
      </c>
      <c r="G117" s="7" t="s">
        <v>50</v>
      </c>
      <c r="H117" t="s">
        <v>65</v>
      </c>
    </row>
    <row r="118" spans="1:8">
      <c r="A118">
        <v>2023</v>
      </c>
      <c r="B118" t="s">
        <v>34</v>
      </c>
      <c r="C118" t="s">
        <v>52</v>
      </c>
      <c r="D118" s="7" t="s">
        <v>63</v>
      </c>
      <c r="E118" s="9">
        <v>44.07</v>
      </c>
      <c r="F118" s="7" t="s">
        <v>63</v>
      </c>
      <c r="G118" t="s">
        <v>59</v>
      </c>
      <c r="H118" t="s">
        <v>65</v>
      </c>
    </row>
    <row r="119" spans="1:8">
      <c r="A119">
        <v>2023</v>
      </c>
      <c r="B119" t="s">
        <v>34</v>
      </c>
      <c r="C119" t="s">
        <v>52</v>
      </c>
      <c r="D119" s="7" t="s">
        <v>64</v>
      </c>
      <c r="E119" s="9">
        <v>51.44</v>
      </c>
      <c r="F119" t="s">
        <v>65</v>
      </c>
      <c r="G119" s="7" t="s">
        <v>50</v>
      </c>
      <c r="H119" t="s">
        <v>65</v>
      </c>
    </row>
    <row r="120" spans="1:8">
      <c r="A120">
        <v>2023</v>
      </c>
      <c r="B120" t="s">
        <v>34</v>
      </c>
      <c r="C120" t="s">
        <v>47</v>
      </c>
      <c r="D120" s="7" t="s">
        <v>48</v>
      </c>
      <c r="E120" s="9">
        <v>16.8</v>
      </c>
      <c r="F120" s="7" t="s">
        <v>49</v>
      </c>
      <c r="G120" s="7" t="s">
        <v>50</v>
      </c>
      <c r="H120" s="7" t="s">
        <v>84</v>
      </c>
    </row>
    <row r="121" spans="1:8">
      <c r="A121">
        <v>2023</v>
      </c>
      <c r="B121" t="s">
        <v>34</v>
      </c>
      <c r="C121" t="s">
        <v>52</v>
      </c>
      <c r="D121" s="7" t="s">
        <v>64</v>
      </c>
      <c r="E121" s="9">
        <v>42.99</v>
      </c>
      <c r="F121" t="s">
        <v>66</v>
      </c>
      <c r="G121" s="7" t="s">
        <v>59</v>
      </c>
      <c r="H121" t="s">
        <v>65</v>
      </c>
    </row>
    <row r="122" spans="1:8">
      <c r="A122">
        <v>2023</v>
      </c>
      <c r="B122" t="s">
        <v>34</v>
      </c>
      <c r="C122" s="5" t="s">
        <v>71</v>
      </c>
      <c r="D122" s="5" t="s">
        <v>71</v>
      </c>
      <c r="E122" s="9">
        <v>3.43</v>
      </c>
      <c r="G122" t="s">
        <v>50</v>
      </c>
      <c r="H122" t="s">
        <v>65</v>
      </c>
    </row>
    <row r="123" spans="1:8">
      <c r="A123">
        <v>2023</v>
      </c>
      <c r="B123" t="s">
        <v>35</v>
      </c>
      <c r="C123" t="s">
        <v>47</v>
      </c>
      <c r="D123" t="s">
        <v>57</v>
      </c>
      <c r="E123" s="9">
        <v>175</v>
      </c>
      <c r="F123" t="s">
        <v>58</v>
      </c>
      <c r="G123" s="7" t="s">
        <v>59</v>
      </c>
      <c r="H123" s="7" t="s">
        <v>83</v>
      </c>
    </row>
    <row r="124" spans="1:8">
      <c r="A124">
        <v>2023</v>
      </c>
      <c r="B124" t="s">
        <v>35</v>
      </c>
      <c r="C124" t="s">
        <v>47</v>
      </c>
      <c r="D124" t="s">
        <v>48</v>
      </c>
      <c r="E124" s="9">
        <v>20</v>
      </c>
      <c r="F124" t="s">
        <v>72</v>
      </c>
      <c r="G124" t="s">
        <v>59</v>
      </c>
      <c r="H124" s="7" t="s">
        <v>83</v>
      </c>
    </row>
    <row r="125" spans="1:8">
      <c r="A125">
        <v>2023</v>
      </c>
      <c r="B125" t="s">
        <v>35</v>
      </c>
      <c r="C125" t="s">
        <v>47</v>
      </c>
      <c r="D125" s="7" t="s">
        <v>60</v>
      </c>
      <c r="E125" s="9">
        <v>64.31</v>
      </c>
      <c r="F125" t="s">
        <v>61</v>
      </c>
      <c r="G125" t="s">
        <v>50</v>
      </c>
      <c r="H125" t="s">
        <v>84</v>
      </c>
    </row>
    <row r="126" spans="1:8">
      <c r="A126">
        <v>2023</v>
      </c>
      <c r="B126" t="s">
        <v>35</v>
      </c>
      <c r="C126" t="s">
        <v>47</v>
      </c>
      <c r="D126" s="7" t="s">
        <v>62</v>
      </c>
      <c r="E126" s="9">
        <v>132.1</v>
      </c>
      <c r="F126" s="7" t="s">
        <v>62</v>
      </c>
      <c r="G126" t="s">
        <v>59</v>
      </c>
      <c r="H126" t="s">
        <v>84</v>
      </c>
    </row>
    <row r="127" spans="1:8">
      <c r="A127">
        <v>2023</v>
      </c>
      <c r="B127" t="s">
        <v>35</v>
      </c>
      <c r="C127" t="s">
        <v>47</v>
      </c>
      <c r="D127" t="s">
        <v>68</v>
      </c>
      <c r="E127" s="9">
        <v>21.9</v>
      </c>
      <c r="F127" t="s">
        <v>68</v>
      </c>
      <c r="G127" t="s">
        <v>59</v>
      </c>
      <c r="H127" t="s">
        <v>84</v>
      </c>
    </row>
    <row r="128" spans="1:8">
      <c r="A128">
        <v>2023</v>
      </c>
      <c r="B128" t="s">
        <v>35</v>
      </c>
      <c r="C128" t="s">
        <v>52</v>
      </c>
      <c r="D128" s="7" t="s">
        <v>64</v>
      </c>
      <c r="E128" s="9">
        <v>17.100000000000001</v>
      </c>
      <c r="F128" t="s">
        <v>85</v>
      </c>
      <c r="G128" t="s">
        <v>50</v>
      </c>
      <c r="H128" t="s">
        <v>65</v>
      </c>
    </row>
    <row r="129" spans="1:8">
      <c r="A129">
        <v>2023</v>
      </c>
      <c r="B129" t="s">
        <v>35</v>
      </c>
      <c r="C129" t="s">
        <v>52</v>
      </c>
      <c r="D129" s="7" t="s">
        <v>63</v>
      </c>
      <c r="E129" s="9">
        <v>7.99</v>
      </c>
      <c r="F129" s="7" t="s">
        <v>63</v>
      </c>
      <c r="G129" t="s">
        <v>59</v>
      </c>
      <c r="H129" t="s">
        <v>65</v>
      </c>
    </row>
    <row r="130" spans="1:8">
      <c r="A130">
        <v>2023</v>
      </c>
      <c r="B130" t="s">
        <v>35</v>
      </c>
      <c r="C130" t="s">
        <v>52</v>
      </c>
      <c r="D130" s="7" t="s">
        <v>64</v>
      </c>
      <c r="E130" s="9">
        <v>41.09</v>
      </c>
      <c r="F130" t="s">
        <v>65</v>
      </c>
      <c r="G130" s="7" t="s">
        <v>50</v>
      </c>
      <c r="H130" t="s">
        <v>65</v>
      </c>
    </row>
    <row r="131" spans="1:8">
      <c r="A131">
        <v>2023</v>
      </c>
      <c r="B131" t="s">
        <v>35</v>
      </c>
      <c r="C131" t="s">
        <v>47</v>
      </c>
      <c r="D131" s="7" t="s">
        <v>48</v>
      </c>
      <c r="E131" s="9">
        <v>26.9</v>
      </c>
      <c r="F131" s="7" t="s">
        <v>49</v>
      </c>
      <c r="G131" s="7" t="s">
        <v>50</v>
      </c>
      <c r="H131" s="7" t="s">
        <v>84</v>
      </c>
    </row>
    <row r="132" spans="1:8">
      <c r="A132">
        <v>2023</v>
      </c>
      <c r="B132" t="s">
        <v>35</v>
      </c>
      <c r="C132" t="s">
        <v>52</v>
      </c>
      <c r="D132" s="7" t="s">
        <v>64</v>
      </c>
      <c r="E132" s="9">
        <v>4.5</v>
      </c>
      <c r="F132" t="s">
        <v>66</v>
      </c>
      <c r="G132" s="7" t="s">
        <v>59</v>
      </c>
      <c r="H132" t="s">
        <v>65</v>
      </c>
    </row>
    <row r="133" spans="1:8">
      <c r="A133">
        <v>2023</v>
      </c>
      <c r="B133" t="s">
        <v>35</v>
      </c>
      <c r="C133" t="s">
        <v>47</v>
      </c>
      <c r="D133" s="7" t="s">
        <v>81</v>
      </c>
      <c r="E133" s="9">
        <v>50</v>
      </c>
      <c r="F133" s="7" t="s">
        <v>81</v>
      </c>
      <c r="G133" t="s">
        <v>50</v>
      </c>
      <c r="H133" t="s">
        <v>86</v>
      </c>
    </row>
    <row r="134" spans="1:8">
      <c r="A134">
        <v>2023</v>
      </c>
      <c r="B134" t="s">
        <v>35</v>
      </c>
      <c r="C134" t="s">
        <v>52</v>
      </c>
      <c r="D134" t="s">
        <v>75</v>
      </c>
      <c r="E134" s="9">
        <v>29.05</v>
      </c>
      <c r="F134" t="s">
        <v>75</v>
      </c>
      <c r="G134" s="7" t="s">
        <v>59</v>
      </c>
      <c r="H134" t="s">
        <v>65</v>
      </c>
    </row>
    <row r="135" spans="1:8">
      <c r="A135">
        <v>2023</v>
      </c>
      <c r="B135" t="s">
        <v>25</v>
      </c>
      <c r="C135" t="s">
        <v>47</v>
      </c>
      <c r="D135" t="s">
        <v>57</v>
      </c>
      <c r="E135" s="9">
        <v>175</v>
      </c>
      <c r="F135" t="s">
        <v>58</v>
      </c>
      <c r="G135" s="7" t="s">
        <v>59</v>
      </c>
      <c r="H135" s="7" t="s">
        <v>83</v>
      </c>
    </row>
    <row r="136" spans="1:8">
      <c r="A136">
        <v>2023</v>
      </c>
      <c r="B136" t="s">
        <v>25</v>
      </c>
      <c r="C136" t="s">
        <v>47</v>
      </c>
      <c r="D136" t="s">
        <v>48</v>
      </c>
      <c r="E136" s="9">
        <v>108.5</v>
      </c>
      <c r="F136" t="s">
        <v>72</v>
      </c>
      <c r="G136" t="s">
        <v>59</v>
      </c>
      <c r="H136" s="7" t="s">
        <v>83</v>
      </c>
    </row>
    <row r="137" spans="1:8">
      <c r="A137">
        <v>2023</v>
      </c>
      <c r="B137" t="s">
        <v>25</v>
      </c>
      <c r="C137" t="s">
        <v>47</v>
      </c>
      <c r="D137" s="7" t="s">
        <v>60</v>
      </c>
      <c r="E137" s="9">
        <v>95.26</v>
      </c>
      <c r="F137" t="s">
        <v>61</v>
      </c>
      <c r="G137" t="s">
        <v>50</v>
      </c>
      <c r="H137" t="s">
        <v>84</v>
      </c>
    </row>
    <row r="138" spans="1:8">
      <c r="A138">
        <v>2023</v>
      </c>
      <c r="B138" t="s">
        <v>25</v>
      </c>
      <c r="C138" t="s">
        <v>47</v>
      </c>
      <c r="D138" s="7" t="s">
        <v>62</v>
      </c>
      <c r="E138" s="9">
        <v>148.68</v>
      </c>
      <c r="F138" s="7" t="s">
        <v>62</v>
      </c>
      <c r="G138" t="s">
        <v>59</v>
      </c>
      <c r="H138" t="s">
        <v>84</v>
      </c>
    </row>
    <row r="139" spans="1:8">
      <c r="A139">
        <v>2023</v>
      </c>
      <c r="B139" t="s">
        <v>25</v>
      </c>
      <c r="C139" t="s">
        <v>47</v>
      </c>
      <c r="D139" t="s">
        <v>68</v>
      </c>
      <c r="E139" s="9">
        <v>12.58</v>
      </c>
      <c r="F139" t="s">
        <v>68</v>
      </c>
      <c r="G139" t="s">
        <v>59</v>
      </c>
      <c r="H139" t="s">
        <v>84</v>
      </c>
    </row>
    <row r="140" spans="1:8">
      <c r="A140">
        <v>2023</v>
      </c>
      <c r="B140" t="s">
        <v>25</v>
      </c>
      <c r="C140" t="s">
        <v>52</v>
      </c>
      <c r="D140" s="7" t="s">
        <v>63</v>
      </c>
      <c r="E140" s="9">
        <v>70.75</v>
      </c>
      <c r="F140" s="7" t="s">
        <v>63</v>
      </c>
      <c r="G140" t="s">
        <v>59</v>
      </c>
      <c r="H140" t="s">
        <v>65</v>
      </c>
    </row>
    <row r="141" spans="1:8">
      <c r="A141">
        <v>2023</v>
      </c>
      <c r="B141" t="s">
        <v>25</v>
      </c>
      <c r="C141" t="s">
        <v>52</v>
      </c>
      <c r="D141" s="7" t="s">
        <v>64</v>
      </c>
      <c r="E141" s="9">
        <v>44.9</v>
      </c>
      <c r="F141" t="s">
        <v>65</v>
      </c>
      <c r="G141" s="7" t="s">
        <v>50</v>
      </c>
      <c r="H141" t="s">
        <v>65</v>
      </c>
    </row>
    <row r="142" spans="1:8">
      <c r="A142">
        <v>2023</v>
      </c>
      <c r="B142" t="s">
        <v>25</v>
      </c>
      <c r="C142" t="s">
        <v>47</v>
      </c>
      <c r="D142" s="7" t="s">
        <v>48</v>
      </c>
      <c r="E142" s="9">
        <v>16.8</v>
      </c>
      <c r="F142" s="7" t="s">
        <v>49</v>
      </c>
      <c r="G142" s="7" t="s">
        <v>50</v>
      </c>
      <c r="H142" s="7" t="s">
        <v>84</v>
      </c>
    </row>
    <row r="143" spans="1:8">
      <c r="A143">
        <v>2023</v>
      </c>
      <c r="B143" t="s">
        <v>25</v>
      </c>
      <c r="C143" t="s">
        <v>52</v>
      </c>
      <c r="D143" t="s">
        <v>75</v>
      </c>
      <c r="E143" s="9">
        <v>198.25</v>
      </c>
      <c r="F143" t="s">
        <v>75</v>
      </c>
      <c r="G143" s="7" t="s">
        <v>59</v>
      </c>
      <c r="H143" t="s">
        <v>65</v>
      </c>
    </row>
    <row r="144" spans="1:8">
      <c r="A144">
        <v>2023</v>
      </c>
      <c r="B144" t="s">
        <v>25</v>
      </c>
      <c r="C144" s="5" t="s">
        <v>71</v>
      </c>
      <c r="D144" s="5" t="s">
        <v>71</v>
      </c>
      <c r="E144" s="9">
        <v>4.4800000000000004</v>
      </c>
      <c r="G144" t="s">
        <v>50</v>
      </c>
      <c r="H144" t="s">
        <v>65</v>
      </c>
    </row>
    <row r="145" spans="1:8">
      <c r="A145">
        <v>2023</v>
      </c>
      <c r="B145" t="s">
        <v>26</v>
      </c>
      <c r="C145" t="s">
        <v>47</v>
      </c>
      <c r="D145" t="s">
        <v>48</v>
      </c>
      <c r="E145" s="9">
        <v>20</v>
      </c>
      <c r="F145" t="s">
        <v>72</v>
      </c>
      <c r="G145" t="s">
        <v>59</v>
      </c>
      <c r="H145" s="7" t="s">
        <v>83</v>
      </c>
    </row>
    <row r="146" spans="1:8">
      <c r="A146">
        <v>2023</v>
      </c>
      <c r="B146" t="s">
        <v>26</v>
      </c>
      <c r="C146" t="s">
        <v>47</v>
      </c>
      <c r="D146" s="7" t="s">
        <v>62</v>
      </c>
      <c r="E146" s="9">
        <v>75.37</v>
      </c>
      <c r="F146" s="7" t="s">
        <v>62</v>
      </c>
      <c r="G146" t="s">
        <v>59</v>
      </c>
      <c r="H146" t="s">
        <v>84</v>
      </c>
    </row>
    <row r="147" spans="1:8">
      <c r="A147">
        <v>2023</v>
      </c>
      <c r="B147" t="s">
        <v>26</v>
      </c>
      <c r="C147" t="s">
        <v>47</v>
      </c>
      <c r="D147" t="s">
        <v>68</v>
      </c>
      <c r="E147" s="9">
        <v>74.89</v>
      </c>
      <c r="F147" t="s">
        <v>68</v>
      </c>
      <c r="G147" t="s">
        <v>59</v>
      </c>
      <c r="H147" t="s">
        <v>84</v>
      </c>
    </row>
    <row r="148" spans="1:8">
      <c r="A148">
        <v>2023</v>
      </c>
      <c r="B148" t="s">
        <v>26</v>
      </c>
      <c r="C148" t="s">
        <v>52</v>
      </c>
      <c r="D148" t="s">
        <v>53</v>
      </c>
      <c r="E148" s="9">
        <v>50</v>
      </c>
      <c r="F148" t="s">
        <v>78</v>
      </c>
      <c r="G148" s="7" t="s">
        <v>50</v>
      </c>
      <c r="H148" t="s">
        <v>65</v>
      </c>
    </row>
    <row r="149" spans="1:8">
      <c r="A149">
        <v>2023</v>
      </c>
      <c r="B149" t="s">
        <v>26</v>
      </c>
      <c r="C149" t="s">
        <v>52</v>
      </c>
      <c r="D149" s="7" t="s">
        <v>63</v>
      </c>
      <c r="E149" s="9">
        <v>211.01</v>
      </c>
      <c r="F149" s="7" t="s">
        <v>63</v>
      </c>
      <c r="G149" t="s">
        <v>59</v>
      </c>
      <c r="H149" t="s">
        <v>65</v>
      </c>
    </row>
    <row r="150" spans="1:8">
      <c r="A150">
        <v>2023</v>
      </c>
      <c r="B150" t="s">
        <v>26</v>
      </c>
      <c r="C150" t="s">
        <v>52</v>
      </c>
      <c r="D150" s="7" t="s">
        <v>64</v>
      </c>
      <c r="E150" s="9">
        <v>29.99</v>
      </c>
      <c r="F150" t="s">
        <v>65</v>
      </c>
      <c r="G150" s="7" t="s">
        <v>50</v>
      </c>
      <c r="H150" t="s">
        <v>65</v>
      </c>
    </row>
    <row r="151" spans="1:8">
      <c r="A151">
        <v>2023</v>
      </c>
      <c r="B151" t="s">
        <v>26</v>
      </c>
      <c r="C151" t="s">
        <v>47</v>
      </c>
      <c r="D151" s="7" t="s">
        <v>48</v>
      </c>
      <c r="E151" s="9">
        <v>18.11</v>
      </c>
      <c r="F151" s="7" t="s">
        <v>49</v>
      </c>
      <c r="G151" s="7" t="s">
        <v>50</v>
      </c>
      <c r="H151" s="7" t="s">
        <v>84</v>
      </c>
    </row>
    <row r="152" spans="1:8">
      <c r="A152">
        <v>2023</v>
      </c>
      <c r="B152" t="s">
        <v>26</v>
      </c>
      <c r="C152" t="s">
        <v>52</v>
      </c>
      <c r="D152" s="7" t="s">
        <v>64</v>
      </c>
      <c r="E152" s="9">
        <v>5.25</v>
      </c>
      <c r="F152" t="s">
        <v>66</v>
      </c>
      <c r="G152" s="7" t="s">
        <v>59</v>
      </c>
      <c r="H152" t="s">
        <v>65</v>
      </c>
    </row>
    <row r="153" spans="1:8">
      <c r="A153">
        <v>2023</v>
      </c>
      <c r="B153" t="s">
        <v>26</v>
      </c>
      <c r="C153" t="s">
        <v>52</v>
      </c>
      <c r="D153" t="s">
        <v>75</v>
      </c>
      <c r="E153" s="9">
        <v>150</v>
      </c>
      <c r="F153" t="s">
        <v>75</v>
      </c>
      <c r="G153" s="7" t="s">
        <v>59</v>
      </c>
      <c r="H153" t="s">
        <v>65</v>
      </c>
    </row>
    <row r="154" spans="1:8">
      <c r="A154">
        <v>2023</v>
      </c>
      <c r="B154" t="s">
        <v>26</v>
      </c>
      <c r="C154" s="5" t="s">
        <v>71</v>
      </c>
      <c r="D154" s="5" t="s">
        <v>71</v>
      </c>
      <c r="E154" s="9">
        <v>22.22</v>
      </c>
      <c r="G154" t="s">
        <v>50</v>
      </c>
      <c r="H154" t="s">
        <v>65</v>
      </c>
    </row>
    <row r="155" spans="1:8">
      <c r="A155">
        <v>2023</v>
      </c>
      <c r="B155" t="s">
        <v>5</v>
      </c>
      <c r="C155" t="s">
        <v>47</v>
      </c>
      <c r="D155" t="s">
        <v>57</v>
      </c>
      <c r="E155" s="9">
        <v>350</v>
      </c>
      <c r="F155" t="s">
        <v>87</v>
      </c>
      <c r="G155" t="s">
        <v>59</v>
      </c>
      <c r="H155" s="7" t="s">
        <v>83</v>
      </c>
    </row>
    <row r="156" spans="1:8">
      <c r="A156">
        <v>2023</v>
      </c>
      <c r="B156" t="s">
        <v>5</v>
      </c>
      <c r="C156" t="s">
        <v>47</v>
      </c>
      <c r="D156" t="s">
        <v>48</v>
      </c>
      <c r="E156" s="9">
        <v>5</v>
      </c>
      <c r="F156" t="s">
        <v>72</v>
      </c>
      <c r="G156" t="s">
        <v>59</v>
      </c>
      <c r="H156" s="7" t="s">
        <v>83</v>
      </c>
    </row>
    <row r="157" spans="1:8">
      <c r="A157">
        <v>2023</v>
      </c>
      <c r="B157" t="s">
        <v>5</v>
      </c>
      <c r="C157" t="s">
        <v>47</v>
      </c>
      <c r="D157" s="7" t="s">
        <v>60</v>
      </c>
      <c r="E157" s="9">
        <v>15</v>
      </c>
      <c r="F157" t="s">
        <v>88</v>
      </c>
      <c r="G157" t="s">
        <v>50</v>
      </c>
      <c r="H157" t="s">
        <v>86</v>
      </c>
    </row>
    <row r="158" spans="1:8">
      <c r="A158">
        <v>2023</v>
      </c>
      <c r="B158" t="s">
        <v>5</v>
      </c>
      <c r="C158" t="s">
        <v>47</v>
      </c>
      <c r="D158" s="7" t="s">
        <v>62</v>
      </c>
      <c r="E158" s="9">
        <v>217.71</v>
      </c>
      <c r="F158" s="7" t="s">
        <v>62</v>
      </c>
      <c r="G158" t="s">
        <v>59</v>
      </c>
      <c r="H158" t="s">
        <v>86</v>
      </c>
    </row>
    <row r="159" spans="1:8">
      <c r="A159">
        <v>2023</v>
      </c>
      <c r="B159" t="s">
        <v>5</v>
      </c>
      <c r="C159" t="s">
        <v>47</v>
      </c>
      <c r="D159" t="s">
        <v>68</v>
      </c>
      <c r="E159" s="9">
        <v>61</v>
      </c>
      <c r="F159" t="s">
        <v>68</v>
      </c>
      <c r="G159" t="s">
        <v>59</v>
      </c>
      <c r="H159" t="s">
        <v>84</v>
      </c>
    </row>
    <row r="160" spans="1:8">
      <c r="A160">
        <v>2023</v>
      </c>
      <c r="B160" t="s">
        <v>5</v>
      </c>
      <c r="C160" t="s">
        <v>52</v>
      </c>
      <c r="D160" s="7" t="s">
        <v>64</v>
      </c>
      <c r="E160" s="9">
        <v>14.6</v>
      </c>
      <c r="F160" t="s">
        <v>85</v>
      </c>
      <c r="G160" t="s">
        <v>50</v>
      </c>
      <c r="H160" t="s">
        <v>65</v>
      </c>
    </row>
    <row r="161" spans="1:8">
      <c r="A161">
        <v>2023</v>
      </c>
      <c r="B161" t="s">
        <v>5</v>
      </c>
      <c r="C161" t="s">
        <v>52</v>
      </c>
      <c r="D161" s="7" t="s">
        <v>63</v>
      </c>
      <c r="E161" s="9">
        <v>109.62</v>
      </c>
      <c r="F161" s="7" t="s">
        <v>63</v>
      </c>
      <c r="G161" t="s">
        <v>59</v>
      </c>
      <c r="H161" t="s">
        <v>65</v>
      </c>
    </row>
    <row r="162" spans="1:8">
      <c r="A162">
        <v>2023</v>
      </c>
      <c r="B162" t="s">
        <v>5</v>
      </c>
      <c r="C162" t="s">
        <v>52</v>
      </c>
      <c r="D162" s="7" t="s">
        <v>64</v>
      </c>
      <c r="E162" s="9">
        <v>222.99</v>
      </c>
      <c r="F162" t="s">
        <v>65</v>
      </c>
      <c r="G162" s="7" t="s">
        <v>50</v>
      </c>
      <c r="H162" t="s">
        <v>65</v>
      </c>
    </row>
    <row r="163" spans="1:8">
      <c r="A163">
        <v>2023</v>
      </c>
      <c r="B163" t="s">
        <v>5</v>
      </c>
      <c r="C163" t="s">
        <v>52</v>
      </c>
      <c r="D163" s="7" t="s">
        <v>64</v>
      </c>
      <c r="E163" s="9">
        <v>70.13</v>
      </c>
      <c r="F163" t="s">
        <v>66</v>
      </c>
      <c r="G163" s="7" t="s">
        <v>59</v>
      </c>
      <c r="H163" t="s">
        <v>65</v>
      </c>
    </row>
    <row r="164" spans="1:8">
      <c r="A164">
        <v>2023</v>
      </c>
      <c r="B164" t="s">
        <v>5</v>
      </c>
      <c r="C164" t="s">
        <v>47</v>
      </c>
      <c r="D164" s="7" t="s">
        <v>62</v>
      </c>
      <c r="E164" s="9">
        <v>48</v>
      </c>
      <c r="F164" s="7" t="s">
        <v>62</v>
      </c>
      <c r="G164" t="s">
        <v>59</v>
      </c>
      <c r="H164" t="s">
        <v>84</v>
      </c>
    </row>
    <row r="165" spans="1:8">
      <c r="A165">
        <v>2023</v>
      </c>
      <c r="B165" t="s">
        <v>5</v>
      </c>
      <c r="C165" s="5" t="s">
        <v>71</v>
      </c>
      <c r="D165" s="5" t="s">
        <v>71</v>
      </c>
      <c r="E165" s="9">
        <v>7.44</v>
      </c>
      <c r="G165" t="s">
        <v>50</v>
      </c>
      <c r="H165" t="s">
        <v>65</v>
      </c>
    </row>
    <row r="166" spans="1:8">
      <c r="A166">
        <v>2023</v>
      </c>
      <c r="B166" t="s">
        <v>12</v>
      </c>
      <c r="C166" t="s">
        <v>47</v>
      </c>
      <c r="D166" t="s">
        <v>57</v>
      </c>
      <c r="E166" s="9">
        <v>350</v>
      </c>
      <c r="F166" t="s">
        <v>87</v>
      </c>
      <c r="G166" t="s">
        <v>59</v>
      </c>
      <c r="H166" s="7" t="s">
        <v>83</v>
      </c>
    </row>
    <row r="167" spans="1:8">
      <c r="A167">
        <v>2023</v>
      </c>
      <c r="B167" t="s">
        <v>12</v>
      </c>
      <c r="C167" t="s">
        <v>47</v>
      </c>
      <c r="D167" t="s">
        <v>48</v>
      </c>
      <c r="E167" s="9">
        <v>87</v>
      </c>
      <c r="F167" t="s">
        <v>72</v>
      </c>
      <c r="G167" t="s">
        <v>59</v>
      </c>
      <c r="H167" s="7" t="s">
        <v>83</v>
      </c>
    </row>
    <row r="168" spans="1:8">
      <c r="A168">
        <v>2023</v>
      </c>
      <c r="B168" t="s">
        <v>12</v>
      </c>
      <c r="C168" t="s">
        <v>47</v>
      </c>
      <c r="D168" s="7" t="s">
        <v>60</v>
      </c>
      <c r="E168" s="9">
        <v>5</v>
      </c>
      <c r="F168" t="s">
        <v>88</v>
      </c>
      <c r="G168" t="s">
        <v>50</v>
      </c>
      <c r="H168" t="s">
        <v>86</v>
      </c>
    </row>
    <row r="169" spans="1:8">
      <c r="A169">
        <v>2023</v>
      </c>
      <c r="B169" t="s">
        <v>12</v>
      </c>
      <c r="C169" t="s">
        <v>47</v>
      </c>
      <c r="D169" s="7" t="s">
        <v>62</v>
      </c>
      <c r="E169" s="9">
        <v>280.83999999999997</v>
      </c>
      <c r="F169" s="7" t="s">
        <v>62</v>
      </c>
      <c r="G169" t="s">
        <v>59</v>
      </c>
      <c r="H169" t="s">
        <v>84</v>
      </c>
    </row>
    <row r="170" spans="1:8">
      <c r="A170">
        <v>2023</v>
      </c>
      <c r="B170" t="s">
        <v>12</v>
      </c>
      <c r="C170" t="s">
        <v>47</v>
      </c>
      <c r="D170" t="s">
        <v>68</v>
      </c>
      <c r="E170" s="9">
        <v>9.2899999999999991</v>
      </c>
      <c r="F170" t="s">
        <v>68</v>
      </c>
      <c r="G170" t="s">
        <v>59</v>
      </c>
      <c r="H170" t="s">
        <v>84</v>
      </c>
    </row>
    <row r="171" spans="1:8">
      <c r="A171">
        <v>2023</v>
      </c>
      <c r="B171" t="s">
        <v>12</v>
      </c>
      <c r="C171" t="s">
        <v>52</v>
      </c>
      <c r="D171" s="7" t="s">
        <v>64</v>
      </c>
      <c r="E171" s="9">
        <v>11</v>
      </c>
      <c r="F171" t="s">
        <v>85</v>
      </c>
      <c r="G171" t="s">
        <v>50</v>
      </c>
      <c r="H171" t="s">
        <v>65</v>
      </c>
    </row>
    <row r="172" spans="1:8">
      <c r="A172">
        <v>2023</v>
      </c>
      <c r="B172" t="s">
        <v>12</v>
      </c>
      <c r="C172" t="s">
        <v>52</v>
      </c>
      <c r="D172" s="7" t="s">
        <v>63</v>
      </c>
      <c r="E172" s="9">
        <v>31.1</v>
      </c>
      <c r="F172" s="7" t="s">
        <v>63</v>
      </c>
      <c r="G172" t="s">
        <v>59</v>
      </c>
      <c r="H172" t="s">
        <v>65</v>
      </c>
    </row>
    <row r="173" spans="1:8">
      <c r="A173">
        <v>2023</v>
      </c>
      <c r="B173" t="s">
        <v>12</v>
      </c>
      <c r="C173" t="s">
        <v>52</v>
      </c>
      <c r="D173" s="7" t="s">
        <v>64</v>
      </c>
      <c r="E173" s="9">
        <v>167.37</v>
      </c>
      <c r="F173" t="s">
        <v>65</v>
      </c>
      <c r="G173" s="7" t="s">
        <v>50</v>
      </c>
      <c r="H173" t="s">
        <v>65</v>
      </c>
    </row>
    <row r="174" spans="1:8">
      <c r="A174">
        <v>2023</v>
      </c>
      <c r="B174" t="s">
        <v>12</v>
      </c>
      <c r="C174" t="s">
        <v>47</v>
      </c>
      <c r="D174" s="7" t="s">
        <v>48</v>
      </c>
      <c r="E174" s="9">
        <v>34</v>
      </c>
      <c r="F174" s="7" t="s">
        <v>49</v>
      </c>
      <c r="G174" s="7" t="s">
        <v>50</v>
      </c>
      <c r="H174" s="7" t="s">
        <v>84</v>
      </c>
    </row>
    <row r="175" spans="1:8">
      <c r="A175">
        <v>2023</v>
      </c>
      <c r="B175" t="s">
        <v>12</v>
      </c>
      <c r="C175" t="s">
        <v>52</v>
      </c>
      <c r="D175" s="7" t="s">
        <v>64</v>
      </c>
      <c r="E175" s="9">
        <v>46.7</v>
      </c>
      <c r="F175" t="s">
        <v>66</v>
      </c>
      <c r="G175" s="7" t="s">
        <v>59</v>
      </c>
      <c r="H175" t="s">
        <v>65</v>
      </c>
    </row>
    <row r="176" spans="1:8">
      <c r="A176">
        <v>2023</v>
      </c>
      <c r="B176" t="s">
        <v>12</v>
      </c>
      <c r="C176" t="s">
        <v>52</v>
      </c>
      <c r="D176" t="s">
        <v>53</v>
      </c>
      <c r="E176" s="9">
        <v>16.86</v>
      </c>
      <c r="F176" t="s">
        <v>78</v>
      </c>
      <c r="G176" s="7" t="s">
        <v>50</v>
      </c>
      <c r="H176" t="s">
        <v>65</v>
      </c>
    </row>
    <row r="177" spans="1:8">
      <c r="A177">
        <v>2023</v>
      </c>
      <c r="B177" t="s">
        <v>12</v>
      </c>
      <c r="C177" s="5" t="s">
        <v>71</v>
      </c>
      <c r="D177" s="5" t="s">
        <v>71</v>
      </c>
      <c r="E177" s="9">
        <v>14.13</v>
      </c>
      <c r="G177" t="s">
        <v>50</v>
      </c>
      <c r="H177" t="s">
        <v>65</v>
      </c>
    </row>
    <row r="178" spans="1:8">
      <c r="A178">
        <v>2023</v>
      </c>
      <c r="B178" t="s">
        <v>14</v>
      </c>
      <c r="C178" t="s">
        <v>47</v>
      </c>
      <c r="D178" t="s">
        <v>57</v>
      </c>
      <c r="E178" s="9">
        <v>50</v>
      </c>
      <c r="F178" t="s">
        <v>87</v>
      </c>
      <c r="G178" t="s">
        <v>59</v>
      </c>
      <c r="H178" s="7" t="s">
        <v>83</v>
      </c>
    </row>
    <row r="179" spans="1:8">
      <c r="A179">
        <v>2023</v>
      </c>
      <c r="B179" t="s">
        <v>14</v>
      </c>
      <c r="C179" t="s">
        <v>47</v>
      </c>
      <c r="D179" t="s">
        <v>48</v>
      </c>
      <c r="E179" s="9">
        <v>62.5</v>
      </c>
      <c r="F179" t="s">
        <v>72</v>
      </c>
      <c r="G179" t="s">
        <v>59</v>
      </c>
      <c r="H179" s="7" t="s">
        <v>83</v>
      </c>
    </row>
    <row r="180" spans="1:8">
      <c r="A180">
        <v>2023</v>
      </c>
      <c r="B180" t="s">
        <v>14</v>
      </c>
      <c r="C180" t="s">
        <v>47</v>
      </c>
      <c r="D180" s="7" t="s">
        <v>60</v>
      </c>
      <c r="E180" s="9">
        <v>5</v>
      </c>
      <c r="F180" t="s">
        <v>88</v>
      </c>
      <c r="G180" t="s">
        <v>50</v>
      </c>
      <c r="H180" t="s">
        <v>86</v>
      </c>
    </row>
    <row r="181" spans="1:8">
      <c r="A181">
        <v>2023</v>
      </c>
      <c r="B181" t="s">
        <v>14</v>
      </c>
      <c r="C181" t="s">
        <v>47</v>
      </c>
      <c r="D181" s="7" t="s">
        <v>62</v>
      </c>
      <c r="E181" s="9">
        <v>212.26</v>
      </c>
      <c r="F181" s="7" t="s">
        <v>62</v>
      </c>
      <c r="G181" t="s">
        <v>59</v>
      </c>
      <c r="H181" t="s">
        <v>84</v>
      </c>
    </row>
    <row r="182" spans="1:8">
      <c r="A182">
        <v>2023</v>
      </c>
      <c r="B182" t="s">
        <v>14</v>
      </c>
      <c r="C182" t="s">
        <v>47</v>
      </c>
      <c r="D182" t="s">
        <v>68</v>
      </c>
      <c r="E182" s="9">
        <v>33.590000000000003</v>
      </c>
      <c r="F182" t="s">
        <v>68</v>
      </c>
      <c r="G182" t="s">
        <v>59</v>
      </c>
      <c r="H182" t="s">
        <v>84</v>
      </c>
    </row>
    <row r="183" spans="1:8">
      <c r="A183">
        <v>2023</v>
      </c>
      <c r="B183" t="s">
        <v>14</v>
      </c>
      <c r="C183" t="s">
        <v>52</v>
      </c>
      <c r="D183" t="s">
        <v>53</v>
      </c>
      <c r="E183" s="9">
        <v>16.559999999999999</v>
      </c>
      <c r="F183" t="s">
        <v>78</v>
      </c>
      <c r="G183" s="7" t="s">
        <v>50</v>
      </c>
      <c r="H183" t="s">
        <v>65</v>
      </c>
    </row>
    <row r="184" spans="1:8">
      <c r="A184">
        <v>2023</v>
      </c>
      <c r="B184" t="s">
        <v>14</v>
      </c>
      <c r="C184" t="s">
        <v>52</v>
      </c>
      <c r="D184" s="7" t="s">
        <v>63</v>
      </c>
      <c r="E184" s="9">
        <v>110</v>
      </c>
      <c r="F184" s="7" t="s">
        <v>63</v>
      </c>
      <c r="G184" t="s">
        <v>59</v>
      </c>
      <c r="H184" t="s">
        <v>65</v>
      </c>
    </row>
    <row r="185" spans="1:8">
      <c r="A185">
        <v>2023</v>
      </c>
      <c r="B185" t="s">
        <v>14</v>
      </c>
      <c r="C185" t="s">
        <v>52</v>
      </c>
      <c r="D185" s="7" t="s">
        <v>64</v>
      </c>
      <c r="E185" s="9">
        <v>146.15</v>
      </c>
      <c r="F185" t="s">
        <v>65</v>
      </c>
      <c r="G185" s="7" t="s">
        <v>50</v>
      </c>
      <c r="H185" t="s">
        <v>65</v>
      </c>
    </row>
    <row r="186" spans="1:8">
      <c r="A186">
        <v>2023</v>
      </c>
      <c r="B186" t="s">
        <v>14</v>
      </c>
      <c r="C186" t="s">
        <v>47</v>
      </c>
      <c r="D186" s="7" t="s">
        <v>48</v>
      </c>
      <c r="E186" s="9">
        <v>20</v>
      </c>
      <c r="F186" s="7" t="s">
        <v>49</v>
      </c>
      <c r="G186" s="7" t="s">
        <v>50</v>
      </c>
      <c r="H186" s="7" t="s">
        <v>84</v>
      </c>
    </row>
    <row r="187" spans="1:8">
      <c r="A187">
        <v>2023</v>
      </c>
      <c r="B187" t="s">
        <v>14</v>
      </c>
      <c r="C187" t="s">
        <v>52</v>
      </c>
      <c r="D187" s="7" t="s">
        <v>64</v>
      </c>
      <c r="E187" s="9">
        <v>158.5</v>
      </c>
      <c r="F187" t="s">
        <v>66</v>
      </c>
      <c r="G187" s="7" t="s">
        <v>59</v>
      </c>
      <c r="H187" t="s">
        <v>65</v>
      </c>
    </row>
    <row r="188" spans="1:8">
      <c r="A188">
        <v>2023</v>
      </c>
      <c r="B188" t="s">
        <v>14</v>
      </c>
      <c r="C188" s="5" t="s">
        <v>71</v>
      </c>
      <c r="D188" s="5" t="s">
        <v>71</v>
      </c>
      <c r="E188" s="9">
        <v>5.0599999999999996</v>
      </c>
      <c r="G188" t="s">
        <v>50</v>
      </c>
      <c r="H188" t="s">
        <v>65</v>
      </c>
    </row>
    <row r="189" spans="1:8">
      <c r="A189">
        <v>2023</v>
      </c>
      <c r="B189" t="s">
        <v>15</v>
      </c>
      <c r="C189" t="s">
        <v>47</v>
      </c>
      <c r="D189" t="s">
        <v>57</v>
      </c>
      <c r="E189" s="9">
        <v>400</v>
      </c>
      <c r="F189" t="s">
        <v>89</v>
      </c>
      <c r="G189" t="s">
        <v>59</v>
      </c>
      <c r="H189" s="7" t="s">
        <v>83</v>
      </c>
    </row>
    <row r="190" spans="1:8">
      <c r="A190">
        <v>2023</v>
      </c>
      <c r="B190" t="s">
        <v>15</v>
      </c>
      <c r="C190" t="s">
        <v>47</v>
      </c>
      <c r="D190" t="s">
        <v>48</v>
      </c>
      <c r="E190" s="9">
        <v>50</v>
      </c>
      <c r="F190" t="s">
        <v>72</v>
      </c>
      <c r="G190" t="s">
        <v>59</v>
      </c>
      <c r="H190" s="7" t="s">
        <v>83</v>
      </c>
    </row>
    <row r="191" spans="1:8">
      <c r="A191">
        <v>2023</v>
      </c>
      <c r="B191" t="s">
        <v>15</v>
      </c>
      <c r="C191" t="s">
        <v>47</v>
      </c>
      <c r="D191" s="7" t="s">
        <v>60</v>
      </c>
      <c r="E191" s="9">
        <v>30</v>
      </c>
      <c r="F191" t="s">
        <v>88</v>
      </c>
      <c r="G191" t="s">
        <v>50</v>
      </c>
      <c r="H191" t="s">
        <v>86</v>
      </c>
    </row>
    <row r="192" spans="1:8">
      <c r="A192">
        <v>2023</v>
      </c>
      <c r="B192" t="s">
        <v>15</v>
      </c>
      <c r="C192" t="s">
        <v>47</v>
      </c>
      <c r="D192" s="7" t="s">
        <v>62</v>
      </c>
      <c r="E192" s="9">
        <v>138.56</v>
      </c>
      <c r="F192" s="7" t="s">
        <v>62</v>
      </c>
      <c r="G192" t="s">
        <v>59</v>
      </c>
      <c r="H192" t="s">
        <v>84</v>
      </c>
    </row>
    <row r="193" spans="1:8">
      <c r="A193">
        <v>2023</v>
      </c>
      <c r="B193" t="s">
        <v>15</v>
      </c>
      <c r="C193" t="s">
        <v>47</v>
      </c>
      <c r="D193" t="s">
        <v>67</v>
      </c>
      <c r="E193" s="9">
        <v>151.79</v>
      </c>
      <c r="F193" t="s">
        <v>67</v>
      </c>
      <c r="G193" t="s">
        <v>50</v>
      </c>
      <c r="H193" t="s">
        <v>86</v>
      </c>
    </row>
    <row r="194" spans="1:8">
      <c r="A194">
        <v>2023</v>
      </c>
      <c r="B194" t="s">
        <v>15</v>
      </c>
      <c r="C194" t="s">
        <v>52</v>
      </c>
      <c r="D194" t="s">
        <v>53</v>
      </c>
      <c r="E194" s="9">
        <v>473.02</v>
      </c>
      <c r="F194" t="s">
        <v>90</v>
      </c>
      <c r="G194" s="7" t="s">
        <v>50</v>
      </c>
      <c r="H194" t="s">
        <v>65</v>
      </c>
    </row>
    <row r="195" spans="1:8">
      <c r="A195">
        <v>2023</v>
      </c>
      <c r="B195" t="s">
        <v>15</v>
      </c>
      <c r="C195" t="s">
        <v>52</v>
      </c>
      <c r="D195" s="7" t="s">
        <v>63</v>
      </c>
      <c r="E195" s="9">
        <v>69.25</v>
      </c>
      <c r="F195" s="7" t="s">
        <v>63</v>
      </c>
      <c r="G195" t="s">
        <v>59</v>
      </c>
      <c r="H195" t="s">
        <v>65</v>
      </c>
    </row>
    <row r="196" spans="1:8">
      <c r="A196">
        <v>2023</v>
      </c>
      <c r="B196" t="s">
        <v>15</v>
      </c>
      <c r="C196" t="s">
        <v>52</v>
      </c>
      <c r="D196" s="7" t="s">
        <v>64</v>
      </c>
      <c r="E196" s="9">
        <v>26.47</v>
      </c>
      <c r="F196" t="s">
        <v>65</v>
      </c>
      <c r="G196" s="7" t="s">
        <v>50</v>
      </c>
      <c r="H196" t="s">
        <v>65</v>
      </c>
    </row>
    <row r="197" spans="1:8">
      <c r="A197">
        <v>2023</v>
      </c>
      <c r="B197" t="s">
        <v>15</v>
      </c>
      <c r="C197" t="s">
        <v>47</v>
      </c>
      <c r="D197" s="7" t="s">
        <v>48</v>
      </c>
      <c r="E197" s="9">
        <v>50</v>
      </c>
      <c r="F197" s="7" t="s">
        <v>49</v>
      </c>
      <c r="G197" s="7" t="s">
        <v>50</v>
      </c>
      <c r="H197" s="7" t="s">
        <v>84</v>
      </c>
    </row>
    <row r="198" spans="1:8">
      <c r="A198">
        <v>2023</v>
      </c>
      <c r="B198" t="s">
        <v>15</v>
      </c>
      <c r="C198" t="s">
        <v>52</v>
      </c>
      <c r="D198" t="s">
        <v>75</v>
      </c>
      <c r="E198" s="9">
        <v>316.88</v>
      </c>
      <c r="F198" t="s">
        <v>75</v>
      </c>
      <c r="G198" s="7" t="s">
        <v>59</v>
      </c>
      <c r="H198" t="s">
        <v>65</v>
      </c>
    </row>
    <row r="199" spans="1:8">
      <c r="A199">
        <v>2023</v>
      </c>
      <c r="B199" t="s">
        <v>15</v>
      </c>
      <c r="C199" t="s">
        <v>47</v>
      </c>
      <c r="D199" s="7" t="s">
        <v>62</v>
      </c>
      <c r="E199" s="9">
        <v>42.35</v>
      </c>
      <c r="F199" s="7" t="s">
        <v>62</v>
      </c>
      <c r="G199" t="s">
        <v>59</v>
      </c>
      <c r="H199" t="s">
        <v>84</v>
      </c>
    </row>
    <row r="200" spans="1:8">
      <c r="A200">
        <v>2023</v>
      </c>
      <c r="B200" t="s">
        <v>15</v>
      </c>
      <c r="C200" s="5" t="s">
        <v>71</v>
      </c>
      <c r="D200" s="5" t="s">
        <v>71</v>
      </c>
      <c r="E200" s="9">
        <v>10.77</v>
      </c>
      <c r="G200" t="s">
        <v>50</v>
      </c>
      <c r="H200" t="s">
        <v>65</v>
      </c>
    </row>
    <row r="201" spans="1:8">
      <c r="A201">
        <v>2023</v>
      </c>
      <c r="B201" t="s">
        <v>16</v>
      </c>
      <c r="C201" t="s">
        <v>47</v>
      </c>
      <c r="D201" t="s">
        <v>57</v>
      </c>
      <c r="E201" s="9">
        <v>400</v>
      </c>
      <c r="F201" t="s">
        <v>89</v>
      </c>
      <c r="G201" t="s">
        <v>59</v>
      </c>
      <c r="H201" s="7" t="s">
        <v>83</v>
      </c>
    </row>
    <row r="202" spans="1:8">
      <c r="A202">
        <v>2023</v>
      </c>
      <c r="B202" t="s">
        <v>16</v>
      </c>
      <c r="C202" t="s">
        <v>47</v>
      </c>
      <c r="D202" t="s">
        <v>48</v>
      </c>
      <c r="E202" s="9">
        <v>62</v>
      </c>
      <c r="F202" t="s">
        <v>72</v>
      </c>
      <c r="G202" t="s">
        <v>59</v>
      </c>
      <c r="H202" s="7" t="s">
        <v>83</v>
      </c>
    </row>
    <row r="203" spans="1:8">
      <c r="A203">
        <v>2023</v>
      </c>
      <c r="B203" t="s">
        <v>16</v>
      </c>
      <c r="C203" t="s">
        <v>47</v>
      </c>
      <c r="D203" s="7" t="s">
        <v>60</v>
      </c>
      <c r="E203" s="9">
        <v>24.4</v>
      </c>
      <c r="F203" t="s">
        <v>88</v>
      </c>
      <c r="G203" t="s">
        <v>50</v>
      </c>
      <c r="H203" t="s">
        <v>86</v>
      </c>
    </row>
    <row r="204" spans="1:8">
      <c r="A204">
        <v>2023</v>
      </c>
      <c r="B204" t="s">
        <v>16</v>
      </c>
      <c r="C204" t="s">
        <v>47</v>
      </c>
      <c r="D204" s="7" t="s">
        <v>62</v>
      </c>
      <c r="E204" s="9">
        <v>263.77</v>
      </c>
      <c r="F204" s="7" t="s">
        <v>62</v>
      </c>
      <c r="G204" t="s">
        <v>59</v>
      </c>
      <c r="H204" t="s">
        <v>84</v>
      </c>
    </row>
    <row r="205" spans="1:8">
      <c r="A205">
        <v>2023</v>
      </c>
      <c r="B205" t="s">
        <v>16</v>
      </c>
      <c r="C205" t="s">
        <v>52</v>
      </c>
      <c r="D205" t="s">
        <v>53</v>
      </c>
      <c r="E205" s="9">
        <v>1.99</v>
      </c>
      <c r="F205" t="s">
        <v>78</v>
      </c>
      <c r="G205" s="7" t="s">
        <v>50</v>
      </c>
      <c r="H205" t="s">
        <v>65</v>
      </c>
    </row>
    <row r="206" spans="1:8">
      <c r="A206">
        <v>2023</v>
      </c>
      <c r="B206" t="s">
        <v>16</v>
      </c>
      <c r="C206" t="s">
        <v>52</v>
      </c>
      <c r="D206" s="7" t="s">
        <v>63</v>
      </c>
      <c r="E206" s="9">
        <v>90.5</v>
      </c>
      <c r="F206" s="7" t="s">
        <v>63</v>
      </c>
      <c r="G206" t="s">
        <v>59</v>
      </c>
      <c r="H206" t="s">
        <v>65</v>
      </c>
    </row>
    <row r="207" spans="1:8">
      <c r="A207">
        <v>2023</v>
      </c>
      <c r="B207" t="s">
        <v>16</v>
      </c>
      <c r="C207" t="s">
        <v>52</v>
      </c>
      <c r="D207" s="7" t="s">
        <v>64</v>
      </c>
      <c r="E207" s="9">
        <v>173.2</v>
      </c>
      <c r="F207" t="s">
        <v>65</v>
      </c>
      <c r="G207" s="7" t="s">
        <v>50</v>
      </c>
      <c r="H207" t="s">
        <v>65</v>
      </c>
    </row>
    <row r="208" spans="1:8">
      <c r="A208">
        <v>2023</v>
      </c>
      <c r="B208" t="s">
        <v>16</v>
      </c>
      <c r="C208" t="s">
        <v>47</v>
      </c>
      <c r="D208" s="7" t="s">
        <v>48</v>
      </c>
      <c r="E208" s="9">
        <v>22.61</v>
      </c>
      <c r="F208" s="7" t="s">
        <v>49</v>
      </c>
      <c r="G208" s="7" t="s">
        <v>50</v>
      </c>
      <c r="H208" s="7" t="s">
        <v>84</v>
      </c>
    </row>
    <row r="209" spans="1:8">
      <c r="A209">
        <v>2023</v>
      </c>
      <c r="B209" t="s">
        <v>16</v>
      </c>
      <c r="C209" t="s">
        <v>47</v>
      </c>
      <c r="D209" s="7" t="s">
        <v>62</v>
      </c>
      <c r="E209" s="9">
        <v>29.33</v>
      </c>
      <c r="F209" s="7" t="s">
        <v>62</v>
      </c>
      <c r="G209" t="s">
        <v>59</v>
      </c>
      <c r="H209" t="s">
        <v>84</v>
      </c>
    </row>
    <row r="210" spans="1:8">
      <c r="A210">
        <v>2023</v>
      </c>
      <c r="B210" t="s">
        <v>16</v>
      </c>
      <c r="C210" t="s">
        <v>52</v>
      </c>
      <c r="D210" s="7" t="s">
        <v>64</v>
      </c>
      <c r="E210" s="9">
        <v>6.29</v>
      </c>
      <c r="F210" t="s">
        <v>85</v>
      </c>
      <c r="G210" t="s">
        <v>50</v>
      </c>
      <c r="H210" t="s">
        <v>65</v>
      </c>
    </row>
    <row r="211" spans="1:8">
      <c r="A211">
        <v>2023</v>
      </c>
      <c r="B211" t="s">
        <v>16</v>
      </c>
      <c r="C211" s="5" t="s">
        <v>71</v>
      </c>
      <c r="D211" s="5" t="s">
        <v>71</v>
      </c>
      <c r="E211" s="9">
        <v>21.29</v>
      </c>
      <c r="G211" t="s">
        <v>50</v>
      </c>
      <c r="H211" t="s">
        <v>65</v>
      </c>
    </row>
    <row r="212" spans="1:8">
      <c r="A212">
        <v>2023</v>
      </c>
      <c r="B212" t="s">
        <v>17</v>
      </c>
      <c r="C212" t="s">
        <v>47</v>
      </c>
      <c r="D212" t="s">
        <v>57</v>
      </c>
      <c r="E212" s="9">
        <v>500</v>
      </c>
      <c r="F212" t="s">
        <v>89</v>
      </c>
      <c r="G212" t="s">
        <v>59</v>
      </c>
      <c r="H212" s="7" t="s">
        <v>83</v>
      </c>
    </row>
    <row r="213" spans="1:8">
      <c r="A213">
        <v>2023</v>
      </c>
      <c r="B213" t="s">
        <v>17</v>
      </c>
      <c r="C213" t="s">
        <v>47</v>
      </c>
      <c r="D213" t="s">
        <v>48</v>
      </c>
      <c r="E213" s="9">
        <v>62</v>
      </c>
      <c r="F213" t="s">
        <v>72</v>
      </c>
      <c r="G213" t="s">
        <v>59</v>
      </c>
      <c r="H213" s="7" t="s">
        <v>83</v>
      </c>
    </row>
    <row r="214" spans="1:8">
      <c r="A214">
        <v>2023</v>
      </c>
      <c r="B214" t="s">
        <v>17</v>
      </c>
      <c r="C214" t="s">
        <v>47</v>
      </c>
      <c r="D214" s="7" t="s">
        <v>60</v>
      </c>
      <c r="E214" s="9">
        <v>98.98</v>
      </c>
      <c r="F214" t="s">
        <v>61</v>
      </c>
      <c r="G214" t="s">
        <v>50</v>
      </c>
      <c r="H214" t="s">
        <v>84</v>
      </c>
    </row>
    <row r="215" spans="1:8">
      <c r="A215">
        <v>2023</v>
      </c>
      <c r="B215" t="s">
        <v>17</v>
      </c>
      <c r="C215" t="s">
        <v>47</v>
      </c>
      <c r="D215" s="7" t="s">
        <v>62</v>
      </c>
      <c r="E215" s="9">
        <v>152.91</v>
      </c>
      <c r="F215" s="7" t="s">
        <v>62</v>
      </c>
      <c r="G215" t="s">
        <v>59</v>
      </c>
      <c r="H215" t="s">
        <v>84</v>
      </c>
    </row>
    <row r="216" spans="1:8">
      <c r="A216">
        <v>2023</v>
      </c>
      <c r="B216" t="s">
        <v>17</v>
      </c>
      <c r="C216" t="s">
        <v>47</v>
      </c>
      <c r="D216" t="s">
        <v>68</v>
      </c>
      <c r="E216" s="9">
        <v>41.49</v>
      </c>
      <c r="F216" t="s">
        <v>68</v>
      </c>
      <c r="G216" t="s">
        <v>59</v>
      </c>
      <c r="H216" t="s">
        <v>84</v>
      </c>
    </row>
    <row r="217" spans="1:8">
      <c r="A217">
        <v>2023</v>
      </c>
      <c r="B217" t="s">
        <v>17</v>
      </c>
      <c r="C217" t="s">
        <v>52</v>
      </c>
      <c r="D217" t="s">
        <v>53</v>
      </c>
      <c r="E217" s="9">
        <v>330.99</v>
      </c>
      <c r="F217" t="s">
        <v>78</v>
      </c>
      <c r="G217" s="7" t="s">
        <v>50</v>
      </c>
      <c r="H217" t="s">
        <v>65</v>
      </c>
    </row>
    <row r="218" spans="1:8">
      <c r="A218">
        <v>2023</v>
      </c>
      <c r="B218" t="s">
        <v>17</v>
      </c>
      <c r="C218" t="s">
        <v>52</v>
      </c>
      <c r="D218" s="7" t="s">
        <v>63</v>
      </c>
      <c r="E218" s="9">
        <v>92.07</v>
      </c>
      <c r="F218" s="7" t="s">
        <v>63</v>
      </c>
      <c r="G218" t="s">
        <v>59</v>
      </c>
      <c r="H218" t="s">
        <v>65</v>
      </c>
    </row>
    <row r="219" spans="1:8">
      <c r="A219">
        <v>2023</v>
      </c>
      <c r="B219" t="s">
        <v>17</v>
      </c>
      <c r="C219" t="s">
        <v>52</v>
      </c>
      <c r="D219" s="7" t="s">
        <v>64</v>
      </c>
      <c r="E219" s="9">
        <v>34.9</v>
      </c>
      <c r="F219" t="s">
        <v>65</v>
      </c>
      <c r="G219" s="7" t="s">
        <v>50</v>
      </c>
      <c r="H219" t="s">
        <v>65</v>
      </c>
    </row>
    <row r="220" spans="1:8">
      <c r="A220">
        <v>2023</v>
      </c>
      <c r="B220" t="s">
        <v>17</v>
      </c>
      <c r="C220" t="s">
        <v>47</v>
      </c>
      <c r="D220" s="7" t="s">
        <v>48</v>
      </c>
      <c r="E220" s="9">
        <v>21.64</v>
      </c>
      <c r="F220" s="7" t="s">
        <v>49</v>
      </c>
      <c r="G220" s="7" t="s">
        <v>50</v>
      </c>
      <c r="H220" s="7" t="s">
        <v>84</v>
      </c>
    </row>
    <row r="221" spans="1:8">
      <c r="A221">
        <v>2023</v>
      </c>
      <c r="B221" t="s">
        <v>17</v>
      </c>
      <c r="C221" t="s">
        <v>47</v>
      </c>
      <c r="D221" s="7" t="s">
        <v>60</v>
      </c>
      <c r="E221" s="9">
        <v>115</v>
      </c>
      <c r="F221" t="s">
        <v>69</v>
      </c>
      <c r="G221" t="s">
        <v>59</v>
      </c>
      <c r="H221" t="s">
        <v>86</v>
      </c>
    </row>
    <row r="222" spans="1:8">
      <c r="A222">
        <v>2023</v>
      </c>
      <c r="B222" t="s">
        <v>17</v>
      </c>
      <c r="C222" s="5" t="s">
        <v>71</v>
      </c>
      <c r="D222" s="5" t="s">
        <v>71</v>
      </c>
      <c r="E222" s="9">
        <v>18.04</v>
      </c>
      <c r="G222" t="s">
        <v>50</v>
      </c>
      <c r="H222" t="s">
        <v>65</v>
      </c>
    </row>
    <row r="223" spans="1:8">
      <c r="A223">
        <v>2023</v>
      </c>
      <c r="B223" t="s">
        <v>30</v>
      </c>
      <c r="C223" t="s">
        <v>47</v>
      </c>
      <c r="D223" t="s">
        <v>57</v>
      </c>
      <c r="E223" s="9">
        <v>500</v>
      </c>
      <c r="F223" t="s">
        <v>89</v>
      </c>
      <c r="G223" t="s">
        <v>59</v>
      </c>
      <c r="H223" s="7" t="s">
        <v>83</v>
      </c>
    </row>
    <row r="224" spans="1:8">
      <c r="A224">
        <v>2023</v>
      </c>
      <c r="B224" t="s">
        <v>30</v>
      </c>
      <c r="C224" t="s">
        <v>47</v>
      </c>
      <c r="D224" t="s">
        <v>48</v>
      </c>
      <c r="E224" s="9">
        <v>78</v>
      </c>
      <c r="F224" t="s">
        <v>72</v>
      </c>
      <c r="G224" t="s">
        <v>59</v>
      </c>
      <c r="H224" s="7" t="s">
        <v>83</v>
      </c>
    </row>
    <row r="225" spans="1:8">
      <c r="A225">
        <v>2023</v>
      </c>
      <c r="B225" t="s">
        <v>30</v>
      </c>
      <c r="C225" t="s">
        <v>47</v>
      </c>
      <c r="D225" s="7" t="s">
        <v>60</v>
      </c>
      <c r="E225" s="9">
        <v>99.25</v>
      </c>
      <c r="F225" t="s">
        <v>61</v>
      </c>
      <c r="G225" t="s">
        <v>50</v>
      </c>
      <c r="H225" t="s">
        <v>84</v>
      </c>
    </row>
    <row r="226" spans="1:8">
      <c r="A226">
        <v>2023</v>
      </c>
      <c r="B226" t="s">
        <v>30</v>
      </c>
      <c r="C226" t="s">
        <v>47</v>
      </c>
      <c r="D226" s="7" t="s">
        <v>62</v>
      </c>
      <c r="E226" s="9">
        <v>223.59</v>
      </c>
      <c r="F226" s="7" t="s">
        <v>62</v>
      </c>
      <c r="G226" t="s">
        <v>59</v>
      </c>
      <c r="H226" t="s">
        <v>84</v>
      </c>
    </row>
    <row r="227" spans="1:8">
      <c r="A227">
        <v>2023</v>
      </c>
      <c r="B227" t="s">
        <v>30</v>
      </c>
      <c r="C227" t="s">
        <v>52</v>
      </c>
      <c r="D227" t="s">
        <v>53</v>
      </c>
      <c r="E227" s="9">
        <v>496.28</v>
      </c>
      <c r="F227" t="s">
        <v>78</v>
      </c>
      <c r="G227" s="7" t="s">
        <v>50</v>
      </c>
      <c r="H227" t="s">
        <v>65</v>
      </c>
    </row>
    <row r="228" spans="1:8">
      <c r="A228">
        <v>2023</v>
      </c>
      <c r="B228" t="s">
        <v>30</v>
      </c>
      <c r="C228" t="s">
        <v>52</v>
      </c>
      <c r="D228" s="7" t="s">
        <v>63</v>
      </c>
      <c r="E228" s="9">
        <v>48.5</v>
      </c>
      <c r="F228" s="7" t="s">
        <v>63</v>
      </c>
      <c r="G228" t="s">
        <v>59</v>
      </c>
      <c r="H228" t="s">
        <v>65</v>
      </c>
    </row>
    <row r="229" spans="1:8">
      <c r="A229">
        <v>2023</v>
      </c>
      <c r="B229" t="s">
        <v>30</v>
      </c>
      <c r="C229" t="s">
        <v>52</v>
      </c>
      <c r="D229" s="7" t="s">
        <v>64</v>
      </c>
      <c r="E229" s="9">
        <v>84.73</v>
      </c>
      <c r="F229" t="s">
        <v>65</v>
      </c>
      <c r="G229" s="7" t="s">
        <v>50</v>
      </c>
      <c r="H229" t="s">
        <v>65</v>
      </c>
    </row>
    <row r="230" spans="1:8">
      <c r="A230">
        <v>2023</v>
      </c>
      <c r="B230" t="s">
        <v>30</v>
      </c>
      <c r="C230" t="s">
        <v>47</v>
      </c>
      <c r="D230" s="7" t="s">
        <v>48</v>
      </c>
      <c r="E230" s="9">
        <v>20</v>
      </c>
      <c r="F230" s="7" t="s">
        <v>49</v>
      </c>
      <c r="G230" s="7" t="s">
        <v>50</v>
      </c>
      <c r="H230" s="7" t="s">
        <v>84</v>
      </c>
    </row>
    <row r="231" spans="1:8">
      <c r="A231">
        <v>2023</v>
      </c>
      <c r="B231" t="s">
        <v>30</v>
      </c>
      <c r="C231" t="s">
        <v>52</v>
      </c>
      <c r="D231" s="7" t="s">
        <v>64</v>
      </c>
      <c r="E231" s="9">
        <v>41</v>
      </c>
      <c r="F231" t="s">
        <v>66</v>
      </c>
      <c r="G231" s="7" t="s">
        <v>59</v>
      </c>
      <c r="H231" t="s">
        <v>65</v>
      </c>
    </row>
    <row r="232" spans="1:8">
      <c r="A232">
        <v>2023</v>
      </c>
      <c r="B232" t="s">
        <v>30</v>
      </c>
      <c r="C232" s="5" t="s">
        <v>71</v>
      </c>
      <c r="D232" s="5" t="s">
        <v>71</v>
      </c>
      <c r="E232" s="9">
        <v>8.2799999999999994</v>
      </c>
      <c r="G232" t="s">
        <v>50</v>
      </c>
      <c r="H232" t="s">
        <v>65</v>
      </c>
    </row>
    <row r="233" spans="1:8">
      <c r="A233">
        <v>2023</v>
      </c>
      <c r="B233" t="s">
        <v>18</v>
      </c>
      <c r="C233" t="s">
        <v>47</v>
      </c>
      <c r="D233" t="s">
        <v>57</v>
      </c>
      <c r="E233" s="9">
        <v>500</v>
      </c>
      <c r="F233" t="s">
        <v>89</v>
      </c>
      <c r="G233" t="s">
        <v>59</v>
      </c>
      <c r="H233" s="7" t="s">
        <v>83</v>
      </c>
    </row>
    <row r="234" spans="1:8">
      <c r="A234">
        <v>2023</v>
      </c>
      <c r="B234" t="s">
        <v>18</v>
      </c>
      <c r="C234" t="s">
        <v>47</v>
      </c>
      <c r="D234" t="s">
        <v>48</v>
      </c>
      <c r="E234" s="9">
        <v>44</v>
      </c>
      <c r="F234" t="s">
        <v>72</v>
      </c>
      <c r="G234" t="s">
        <v>59</v>
      </c>
      <c r="H234" s="7" t="s">
        <v>83</v>
      </c>
    </row>
    <row r="235" spans="1:8">
      <c r="A235">
        <v>2023</v>
      </c>
      <c r="B235" t="s">
        <v>18</v>
      </c>
      <c r="C235" t="s">
        <v>47</v>
      </c>
      <c r="D235" s="7" t="s">
        <v>60</v>
      </c>
      <c r="E235" s="9">
        <v>53.01</v>
      </c>
      <c r="F235" t="s">
        <v>61</v>
      </c>
      <c r="G235" t="s">
        <v>50</v>
      </c>
      <c r="H235" t="s">
        <v>84</v>
      </c>
    </row>
    <row r="236" spans="1:8">
      <c r="A236">
        <v>2023</v>
      </c>
      <c r="B236" t="s">
        <v>18</v>
      </c>
      <c r="C236" t="s">
        <v>47</v>
      </c>
      <c r="D236" s="7" t="s">
        <v>62</v>
      </c>
      <c r="E236" s="9">
        <v>124.26</v>
      </c>
      <c r="F236" s="7" t="s">
        <v>62</v>
      </c>
      <c r="G236" t="s">
        <v>59</v>
      </c>
      <c r="H236" t="s">
        <v>84</v>
      </c>
    </row>
    <row r="237" spans="1:8">
      <c r="A237">
        <v>2023</v>
      </c>
      <c r="B237" t="s">
        <v>18</v>
      </c>
      <c r="C237" t="s">
        <v>47</v>
      </c>
      <c r="D237" t="s">
        <v>68</v>
      </c>
      <c r="E237" s="9">
        <v>3</v>
      </c>
      <c r="F237" t="s">
        <v>68</v>
      </c>
      <c r="G237" t="s">
        <v>59</v>
      </c>
      <c r="H237" t="s">
        <v>84</v>
      </c>
    </row>
    <row r="238" spans="1:8">
      <c r="A238">
        <v>2023</v>
      </c>
      <c r="B238" t="s">
        <v>18</v>
      </c>
      <c r="C238" t="s">
        <v>52</v>
      </c>
      <c r="D238" t="s">
        <v>53</v>
      </c>
      <c r="E238" s="9">
        <v>250</v>
      </c>
      <c r="F238" t="s">
        <v>78</v>
      </c>
      <c r="G238" s="7" t="s">
        <v>50</v>
      </c>
      <c r="H238" t="s">
        <v>65</v>
      </c>
    </row>
    <row r="239" spans="1:8">
      <c r="A239">
        <v>2023</v>
      </c>
      <c r="B239" t="s">
        <v>18</v>
      </c>
      <c r="C239" t="s">
        <v>52</v>
      </c>
      <c r="D239" s="7" t="s">
        <v>63</v>
      </c>
      <c r="E239" s="9">
        <v>71</v>
      </c>
      <c r="F239" s="7" t="s">
        <v>63</v>
      </c>
      <c r="G239" t="s">
        <v>59</v>
      </c>
      <c r="H239" t="s">
        <v>65</v>
      </c>
    </row>
    <row r="240" spans="1:8">
      <c r="A240">
        <v>2023</v>
      </c>
      <c r="B240" t="s">
        <v>18</v>
      </c>
      <c r="C240" t="s">
        <v>52</v>
      </c>
      <c r="D240" s="7" t="s">
        <v>64</v>
      </c>
      <c r="E240" s="9">
        <v>125.26</v>
      </c>
      <c r="F240" t="s">
        <v>65</v>
      </c>
      <c r="G240" s="7" t="s">
        <v>50</v>
      </c>
      <c r="H240" t="s">
        <v>65</v>
      </c>
    </row>
    <row r="241" spans="1:8">
      <c r="A241">
        <v>2023</v>
      </c>
      <c r="B241" t="s">
        <v>18</v>
      </c>
      <c r="C241" t="s">
        <v>47</v>
      </c>
      <c r="D241" s="7" t="s">
        <v>48</v>
      </c>
      <c r="E241" s="9">
        <v>20</v>
      </c>
      <c r="F241" s="7" t="s">
        <v>49</v>
      </c>
      <c r="G241" s="7" t="s">
        <v>50</v>
      </c>
      <c r="H241" s="7" t="s">
        <v>84</v>
      </c>
    </row>
    <row r="242" spans="1:8">
      <c r="A242">
        <v>2023</v>
      </c>
      <c r="B242" t="s">
        <v>18</v>
      </c>
      <c r="C242" t="s">
        <v>52</v>
      </c>
      <c r="D242" s="7" t="s">
        <v>64</v>
      </c>
      <c r="E242" s="9">
        <v>23.47</v>
      </c>
      <c r="F242" t="s">
        <v>66</v>
      </c>
      <c r="G242" s="7" t="s">
        <v>59</v>
      </c>
      <c r="H242" t="s">
        <v>65</v>
      </c>
    </row>
    <row r="243" spans="1:8">
      <c r="A243">
        <v>2023</v>
      </c>
      <c r="B243" t="s">
        <v>18</v>
      </c>
      <c r="C243" t="s">
        <v>52</v>
      </c>
      <c r="D243" t="s">
        <v>53</v>
      </c>
      <c r="E243" s="9">
        <v>730</v>
      </c>
      <c r="F243" t="s">
        <v>78</v>
      </c>
      <c r="G243" s="7" t="s">
        <v>50</v>
      </c>
      <c r="H243" t="s">
        <v>65</v>
      </c>
    </row>
    <row r="244" spans="1:8">
      <c r="A244">
        <v>2022</v>
      </c>
      <c r="B244" t="s">
        <v>17</v>
      </c>
      <c r="C244" t="s">
        <v>52</v>
      </c>
      <c r="D244" t="s">
        <v>64</v>
      </c>
      <c r="E244" s="9">
        <v>28.27</v>
      </c>
      <c r="F244" t="s">
        <v>29</v>
      </c>
      <c r="G244" s="7" t="s">
        <v>50</v>
      </c>
      <c r="H244" s="7"/>
    </row>
    <row r="245" spans="1:8">
      <c r="A245">
        <v>2022</v>
      </c>
      <c r="B245" t="s">
        <v>30</v>
      </c>
      <c r="C245" t="s">
        <v>52</v>
      </c>
      <c r="D245" t="s">
        <v>64</v>
      </c>
      <c r="E245" s="9">
        <v>52.01</v>
      </c>
      <c r="F245" t="s">
        <v>29</v>
      </c>
      <c r="G245" s="7" t="s">
        <v>50</v>
      </c>
      <c r="H245" s="7"/>
    </row>
    <row r="246" spans="1:8">
      <c r="A246">
        <v>2022</v>
      </c>
      <c r="B246" t="s">
        <v>30</v>
      </c>
      <c r="C246" t="s">
        <v>71</v>
      </c>
      <c r="D246" t="s">
        <v>71</v>
      </c>
      <c r="E246" s="9">
        <v>8.23</v>
      </c>
      <c r="G246" t="s">
        <v>50</v>
      </c>
    </row>
    <row r="247" spans="1:8">
      <c r="A247">
        <v>2022</v>
      </c>
      <c r="B247" t="s">
        <v>18</v>
      </c>
      <c r="C247" t="s">
        <v>71</v>
      </c>
      <c r="D247" t="s">
        <v>71</v>
      </c>
      <c r="E247" s="9">
        <v>8</v>
      </c>
      <c r="G247" t="s">
        <v>50</v>
      </c>
    </row>
    <row r="248" spans="1:8">
      <c r="A248">
        <v>2022</v>
      </c>
      <c r="B248" t="s">
        <v>18</v>
      </c>
      <c r="C248" t="s">
        <v>52</v>
      </c>
      <c r="D248" t="s">
        <v>64</v>
      </c>
      <c r="E248" s="9">
        <v>132.58000000000001</v>
      </c>
      <c r="F248" t="s">
        <v>29</v>
      </c>
      <c r="G248" s="7" t="s">
        <v>50</v>
      </c>
      <c r="H248" s="7"/>
    </row>
    <row r="249" spans="1:8">
      <c r="A249">
        <v>2023</v>
      </c>
      <c r="B249" t="s">
        <v>34</v>
      </c>
      <c r="C249" t="s">
        <v>52</v>
      </c>
      <c r="D249" t="s">
        <v>64</v>
      </c>
      <c r="E249" s="9">
        <v>53.12</v>
      </c>
      <c r="F249" t="s">
        <v>29</v>
      </c>
      <c r="G249" s="7" t="s">
        <v>50</v>
      </c>
      <c r="H249" t="s">
        <v>65</v>
      </c>
    </row>
    <row r="250" spans="1:8">
      <c r="A250">
        <v>2023</v>
      </c>
      <c r="B250" t="s">
        <v>25</v>
      </c>
      <c r="C250" t="s">
        <v>52</v>
      </c>
      <c r="D250" t="s">
        <v>64</v>
      </c>
      <c r="E250" s="9">
        <v>27.48</v>
      </c>
      <c r="F250" t="s">
        <v>65</v>
      </c>
      <c r="G250" s="7" t="s">
        <v>50</v>
      </c>
      <c r="H250" t="s">
        <v>65</v>
      </c>
    </row>
    <row r="251" spans="1:8">
      <c r="A251">
        <v>2023</v>
      </c>
      <c r="B251" t="s">
        <v>26</v>
      </c>
      <c r="C251" t="s">
        <v>52</v>
      </c>
      <c r="D251" t="s">
        <v>64</v>
      </c>
      <c r="E251" s="9">
        <v>17.989999999999998</v>
      </c>
      <c r="F251" t="s">
        <v>65</v>
      </c>
      <c r="G251" s="7" t="s">
        <v>50</v>
      </c>
      <c r="H251" t="s">
        <v>65</v>
      </c>
    </row>
    <row r="252" spans="1:8">
      <c r="A252">
        <v>2023</v>
      </c>
      <c r="B252" t="s">
        <v>5</v>
      </c>
      <c r="C252" t="s">
        <v>52</v>
      </c>
      <c r="D252" t="s">
        <v>64</v>
      </c>
      <c r="E252" s="9">
        <v>20.5</v>
      </c>
      <c r="F252" t="s">
        <v>65</v>
      </c>
      <c r="G252" s="7" t="s">
        <v>50</v>
      </c>
      <c r="H252" t="s">
        <v>65</v>
      </c>
    </row>
    <row r="253" spans="1:8">
      <c r="A253">
        <v>2023</v>
      </c>
      <c r="B253" t="s">
        <v>12</v>
      </c>
      <c r="C253" t="s">
        <v>52</v>
      </c>
      <c r="D253" t="s">
        <v>75</v>
      </c>
      <c r="E253" s="9">
        <v>76.5</v>
      </c>
      <c r="F253" t="s">
        <v>75</v>
      </c>
      <c r="G253" s="7" t="s">
        <v>59</v>
      </c>
      <c r="H253" t="s">
        <v>65</v>
      </c>
    </row>
    <row r="254" spans="1:8">
      <c r="A254">
        <v>2023</v>
      </c>
      <c r="B254" t="s">
        <v>14</v>
      </c>
      <c r="C254" t="s">
        <v>52</v>
      </c>
      <c r="D254" t="s">
        <v>64</v>
      </c>
      <c r="E254" s="9">
        <v>34.39</v>
      </c>
      <c r="F254" t="s">
        <v>65</v>
      </c>
      <c r="G254" s="7" t="s">
        <v>50</v>
      </c>
      <c r="H254" t="s">
        <v>65</v>
      </c>
    </row>
    <row r="255" spans="1:8">
      <c r="A255">
        <v>2023</v>
      </c>
      <c r="B255" t="s">
        <v>15</v>
      </c>
      <c r="C255" t="s">
        <v>52</v>
      </c>
      <c r="D255" t="s">
        <v>64</v>
      </c>
      <c r="E255" s="9">
        <v>55.12</v>
      </c>
      <c r="F255" t="s">
        <v>65</v>
      </c>
      <c r="G255" s="7" t="s">
        <v>50</v>
      </c>
      <c r="H255" t="s">
        <v>65</v>
      </c>
    </row>
    <row r="256" spans="1:8">
      <c r="A256">
        <v>2023</v>
      </c>
      <c r="B256" t="s">
        <v>16</v>
      </c>
      <c r="C256" t="s">
        <v>52</v>
      </c>
      <c r="D256" t="s">
        <v>64</v>
      </c>
      <c r="E256" s="9">
        <v>26.26</v>
      </c>
      <c r="F256" t="s">
        <v>65</v>
      </c>
      <c r="G256" s="7" t="s">
        <v>50</v>
      </c>
      <c r="H256" t="s">
        <v>65</v>
      </c>
    </row>
    <row r="257" spans="1:8">
      <c r="A257">
        <v>2023</v>
      </c>
      <c r="B257" t="s">
        <v>17</v>
      </c>
      <c r="C257" t="s">
        <v>52</v>
      </c>
      <c r="D257" t="s">
        <v>64</v>
      </c>
      <c r="E257" s="9">
        <v>27.2</v>
      </c>
      <c r="F257" t="s">
        <v>65</v>
      </c>
      <c r="G257" s="7" t="s">
        <v>50</v>
      </c>
      <c r="H257" t="s">
        <v>65</v>
      </c>
    </row>
    <row r="258" spans="1:8">
      <c r="A258">
        <v>2023</v>
      </c>
      <c r="B258" t="s">
        <v>30</v>
      </c>
      <c r="C258" t="s">
        <v>52</v>
      </c>
      <c r="D258" t="s">
        <v>64</v>
      </c>
      <c r="E258" s="9">
        <v>7</v>
      </c>
      <c r="F258" t="s">
        <v>65</v>
      </c>
      <c r="G258" s="7" t="s">
        <v>50</v>
      </c>
      <c r="H258" t="s">
        <v>65</v>
      </c>
    </row>
    <row r="259" spans="1:8">
      <c r="A259">
        <v>2023</v>
      </c>
      <c r="B259" t="s">
        <v>18</v>
      </c>
      <c r="C259" t="s">
        <v>52</v>
      </c>
      <c r="D259" t="s">
        <v>64</v>
      </c>
      <c r="E259" s="9">
        <v>57.65</v>
      </c>
      <c r="F259" t="s">
        <v>29</v>
      </c>
      <c r="G259" s="7" t="s">
        <v>50</v>
      </c>
      <c r="H259" t="s">
        <v>65</v>
      </c>
    </row>
    <row r="260" spans="1:8">
      <c r="A260">
        <v>2024</v>
      </c>
      <c r="B260" t="s">
        <v>34</v>
      </c>
      <c r="C260" t="s">
        <v>47</v>
      </c>
      <c r="D260" t="s">
        <v>57</v>
      </c>
      <c r="E260" s="9">
        <v>500</v>
      </c>
      <c r="F260" t="s">
        <v>89</v>
      </c>
      <c r="G260" t="s">
        <v>59</v>
      </c>
      <c r="H260" s="7" t="s">
        <v>83</v>
      </c>
    </row>
    <row r="261" spans="1:8">
      <c r="A261">
        <v>2024</v>
      </c>
      <c r="B261" t="s">
        <v>34</v>
      </c>
      <c r="C261" t="s">
        <v>47</v>
      </c>
      <c r="D261" t="s">
        <v>48</v>
      </c>
      <c r="E261" s="9">
        <v>31.5</v>
      </c>
      <c r="F261" t="s">
        <v>91</v>
      </c>
      <c r="G261" t="s">
        <v>59</v>
      </c>
      <c r="H261" s="7" t="s">
        <v>84</v>
      </c>
    </row>
    <row r="262" spans="1:8">
      <c r="A262">
        <v>2024</v>
      </c>
      <c r="B262" t="s">
        <v>34</v>
      </c>
      <c r="C262" t="s">
        <v>47</v>
      </c>
      <c r="D262" t="s">
        <v>60</v>
      </c>
      <c r="E262" s="9">
        <v>48.58</v>
      </c>
      <c r="F262" t="s">
        <v>61</v>
      </c>
      <c r="G262" t="s">
        <v>59</v>
      </c>
      <c r="H262" t="s">
        <v>84</v>
      </c>
    </row>
    <row r="263" spans="1:8">
      <c r="A263">
        <v>2024</v>
      </c>
      <c r="B263" t="s">
        <v>34</v>
      </c>
      <c r="C263" t="s">
        <v>47</v>
      </c>
      <c r="D263" t="s">
        <v>60</v>
      </c>
      <c r="E263" s="9">
        <v>36</v>
      </c>
      <c r="F263" t="s">
        <v>69</v>
      </c>
      <c r="G263" t="s">
        <v>59</v>
      </c>
      <c r="H263" t="s">
        <v>86</v>
      </c>
    </row>
    <row r="264" spans="1:8">
      <c r="A264">
        <v>2024</v>
      </c>
      <c r="B264" t="s">
        <v>34</v>
      </c>
      <c r="C264" t="s">
        <v>47</v>
      </c>
      <c r="D264" t="s">
        <v>48</v>
      </c>
      <c r="E264" s="9">
        <v>18</v>
      </c>
      <c r="F264" t="s">
        <v>92</v>
      </c>
      <c r="G264" t="s">
        <v>59</v>
      </c>
      <c r="H264" t="s">
        <v>86</v>
      </c>
    </row>
    <row r="265" spans="1:8">
      <c r="A265">
        <v>2024</v>
      </c>
      <c r="B265" t="s">
        <v>34</v>
      </c>
      <c r="C265" t="s">
        <v>52</v>
      </c>
      <c r="D265" t="s">
        <v>64</v>
      </c>
      <c r="E265" s="9">
        <v>31</v>
      </c>
      <c r="F265" t="s">
        <v>66</v>
      </c>
      <c r="G265" s="7" t="s">
        <v>59</v>
      </c>
      <c r="H265" t="s">
        <v>65</v>
      </c>
    </row>
    <row r="266" spans="1:8">
      <c r="A266">
        <v>2024</v>
      </c>
      <c r="B266" t="s">
        <v>34</v>
      </c>
      <c r="C266" t="s">
        <v>47</v>
      </c>
      <c r="D266" t="s">
        <v>68</v>
      </c>
      <c r="E266" s="9">
        <v>42.49</v>
      </c>
      <c r="F266" t="s">
        <v>68</v>
      </c>
      <c r="G266" t="s">
        <v>59</v>
      </c>
      <c r="H266" t="s">
        <v>84</v>
      </c>
    </row>
    <row r="267" spans="1:8">
      <c r="A267">
        <v>2024</v>
      </c>
      <c r="B267" t="s">
        <v>34</v>
      </c>
      <c r="C267" t="s">
        <v>47</v>
      </c>
      <c r="D267" t="s">
        <v>62</v>
      </c>
      <c r="E267" s="9">
        <v>170.47</v>
      </c>
      <c r="F267" s="7" t="s">
        <v>62</v>
      </c>
      <c r="G267" t="s">
        <v>59</v>
      </c>
      <c r="H267" t="s">
        <v>84</v>
      </c>
    </row>
    <row r="268" spans="1:8">
      <c r="A268">
        <v>2024</v>
      </c>
      <c r="B268" t="s">
        <v>34</v>
      </c>
      <c r="C268" t="s">
        <v>52</v>
      </c>
      <c r="D268" t="s">
        <v>63</v>
      </c>
      <c r="E268" s="9">
        <v>106.85</v>
      </c>
      <c r="F268" s="7" t="s">
        <v>63</v>
      </c>
      <c r="G268" t="s">
        <v>59</v>
      </c>
      <c r="H268" t="s">
        <v>65</v>
      </c>
    </row>
    <row r="269" spans="1:8">
      <c r="A269">
        <v>2024</v>
      </c>
      <c r="B269" t="s">
        <v>34</v>
      </c>
      <c r="C269" t="s">
        <v>52</v>
      </c>
      <c r="D269" t="s">
        <v>64</v>
      </c>
      <c r="E269" s="9">
        <v>38</v>
      </c>
      <c r="F269" t="s">
        <v>65</v>
      </c>
      <c r="G269" s="7" t="s">
        <v>50</v>
      </c>
      <c r="H269" t="s">
        <v>65</v>
      </c>
    </row>
    <row r="270" spans="1:8">
      <c r="A270">
        <v>2024</v>
      </c>
      <c r="B270" t="s">
        <v>34</v>
      </c>
      <c r="C270" t="s">
        <v>52</v>
      </c>
      <c r="D270" t="s">
        <v>75</v>
      </c>
      <c r="E270" s="9">
        <v>70.5</v>
      </c>
      <c r="F270" t="s">
        <v>75</v>
      </c>
      <c r="G270" s="7" t="s">
        <v>59</v>
      </c>
      <c r="H270" t="s">
        <v>65</v>
      </c>
    </row>
    <row r="271" spans="1:8">
      <c r="A271">
        <v>2024</v>
      </c>
      <c r="B271" t="s">
        <v>34</v>
      </c>
      <c r="C271" t="s">
        <v>52</v>
      </c>
      <c r="D271" t="s">
        <v>64</v>
      </c>
      <c r="E271" s="9">
        <v>43.2</v>
      </c>
      <c r="F271" t="s">
        <v>29</v>
      </c>
      <c r="G271" s="7" t="s">
        <v>50</v>
      </c>
      <c r="H271" t="s">
        <v>65</v>
      </c>
    </row>
    <row r="272" spans="1:8">
      <c r="A272">
        <v>2024</v>
      </c>
      <c r="B272" t="s">
        <v>34</v>
      </c>
      <c r="C272" t="s">
        <v>71</v>
      </c>
      <c r="D272" t="s">
        <v>71</v>
      </c>
      <c r="E272" s="9">
        <v>22.55</v>
      </c>
      <c r="G272" t="s">
        <v>50</v>
      </c>
      <c r="H272" t="s">
        <v>65</v>
      </c>
    </row>
    <row r="273" spans="1:8">
      <c r="A273">
        <v>2024</v>
      </c>
      <c r="B273" t="s">
        <v>34</v>
      </c>
      <c r="C273" t="s">
        <v>47</v>
      </c>
      <c r="D273" t="s">
        <v>48</v>
      </c>
      <c r="E273" s="9">
        <v>11.36</v>
      </c>
      <c r="F273" t="s">
        <v>93</v>
      </c>
      <c r="G273" s="7" t="s">
        <v>50</v>
      </c>
      <c r="H273" s="7" t="s">
        <v>84</v>
      </c>
    </row>
    <row r="274" spans="1:8">
      <c r="A274">
        <v>2024</v>
      </c>
      <c r="B274" t="s">
        <v>35</v>
      </c>
      <c r="C274" t="s">
        <v>47</v>
      </c>
      <c r="D274" t="s">
        <v>57</v>
      </c>
      <c r="E274" s="9">
        <v>500</v>
      </c>
      <c r="F274" t="s">
        <v>89</v>
      </c>
      <c r="G274" t="s">
        <v>59</v>
      </c>
      <c r="H274" s="7" t="s">
        <v>83</v>
      </c>
    </row>
    <row r="275" spans="1:8">
      <c r="A275">
        <v>2024</v>
      </c>
      <c r="B275" t="s">
        <v>35</v>
      </c>
      <c r="C275" t="s">
        <v>47</v>
      </c>
      <c r="D275" t="s">
        <v>48</v>
      </c>
      <c r="E275" s="9">
        <v>50</v>
      </c>
      <c r="F275" t="s">
        <v>72</v>
      </c>
      <c r="G275" t="s">
        <v>59</v>
      </c>
      <c r="H275" s="7" t="s">
        <v>83</v>
      </c>
    </row>
    <row r="276" spans="1:8">
      <c r="A276">
        <v>2024</v>
      </c>
      <c r="B276" t="s">
        <v>35</v>
      </c>
      <c r="C276" t="s">
        <v>47</v>
      </c>
      <c r="D276" t="s">
        <v>60</v>
      </c>
      <c r="E276" s="9">
        <v>50</v>
      </c>
      <c r="F276" t="s">
        <v>69</v>
      </c>
      <c r="G276" t="s">
        <v>59</v>
      </c>
      <c r="H276" t="s">
        <v>86</v>
      </c>
    </row>
    <row r="277" spans="1:8">
      <c r="A277">
        <v>2024</v>
      </c>
      <c r="B277" t="s">
        <v>35</v>
      </c>
      <c r="C277" t="s">
        <v>47</v>
      </c>
      <c r="D277" t="s">
        <v>60</v>
      </c>
      <c r="E277" s="9">
        <v>150</v>
      </c>
      <c r="F277" t="s">
        <v>69</v>
      </c>
      <c r="G277" t="s">
        <v>59</v>
      </c>
      <c r="H277" t="s">
        <v>86</v>
      </c>
    </row>
    <row r="278" spans="1:8">
      <c r="A278">
        <v>2024</v>
      </c>
      <c r="B278" t="s">
        <v>35</v>
      </c>
      <c r="C278" t="s">
        <v>47</v>
      </c>
      <c r="D278" t="s">
        <v>60</v>
      </c>
      <c r="E278" s="9">
        <v>25.64</v>
      </c>
      <c r="F278" t="s">
        <v>61</v>
      </c>
      <c r="G278" t="s">
        <v>59</v>
      </c>
      <c r="H278" t="s">
        <v>84</v>
      </c>
    </row>
    <row r="279" spans="1:8">
      <c r="A279">
        <v>2024</v>
      </c>
      <c r="B279" t="s">
        <v>35</v>
      </c>
      <c r="C279" t="s">
        <v>47</v>
      </c>
      <c r="D279" t="s">
        <v>48</v>
      </c>
      <c r="E279" s="9">
        <v>11.2</v>
      </c>
      <c r="F279" t="s">
        <v>92</v>
      </c>
      <c r="G279" t="s">
        <v>59</v>
      </c>
      <c r="H279" t="s">
        <v>86</v>
      </c>
    </row>
    <row r="280" spans="1:8">
      <c r="A280">
        <v>2024</v>
      </c>
      <c r="B280" t="s">
        <v>35</v>
      </c>
      <c r="C280" t="s">
        <v>47</v>
      </c>
      <c r="D280" t="s">
        <v>68</v>
      </c>
      <c r="E280" s="9">
        <v>9.16</v>
      </c>
      <c r="F280" t="s">
        <v>68</v>
      </c>
      <c r="G280" t="s">
        <v>59</v>
      </c>
      <c r="H280" t="s">
        <v>84</v>
      </c>
    </row>
    <row r="281" spans="1:8">
      <c r="A281">
        <v>2024</v>
      </c>
      <c r="B281" t="s">
        <v>35</v>
      </c>
      <c r="C281" t="s">
        <v>47</v>
      </c>
      <c r="D281" t="s">
        <v>62</v>
      </c>
      <c r="E281" s="9">
        <v>186.98</v>
      </c>
      <c r="F281" s="7" t="s">
        <v>62</v>
      </c>
      <c r="G281" t="s">
        <v>59</v>
      </c>
      <c r="H281" t="s">
        <v>84</v>
      </c>
    </row>
    <row r="282" spans="1:8">
      <c r="A282">
        <v>2024</v>
      </c>
      <c r="B282" t="s">
        <v>35</v>
      </c>
      <c r="C282" t="s">
        <v>52</v>
      </c>
      <c r="D282" t="s">
        <v>63</v>
      </c>
      <c r="E282" s="9">
        <v>21</v>
      </c>
      <c r="F282" s="7" t="s">
        <v>63</v>
      </c>
      <c r="G282" t="s">
        <v>59</v>
      </c>
      <c r="H282" t="s">
        <v>65</v>
      </c>
    </row>
    <row r="283" spans="1:8">
      <c r="A283">
        <v>2024</v>
      </c>
      <c r="B283" t="s">
        <v>35</v>
      </c>
      <c r="C283" t="s">
        <v>52</v>
      </c>
      <c r="D283" t="s">
        <v>75</v>
      </c>
      <c r="E283" s="9">
        <v>274.2</v>
      </c>
      <c r="F283" t="s">
        <v>75</v>
      </c>
      <c r="G283" s="7" t="s">
        <v>59</v>
      </c>
      <c r="H283" t="s">
        <v>65</v>
      </c>
    </row>
    <row r="284" spans="1:8">
      <c r="A284">
        <v>2024</v>
      </c>
      <c r="B284" t="s">
        <v>35</v>
      </c>
      <c r="C284" t="s">
        <v>52</v>
      </c>
      <c r="D284" t="s">
        <v>64</v>
      </c>
      <c r="E284" s="9">
        <v>23.44</v>
      </c>
      <c r="F284" t="s">
        <v>65</v>
      </c>
      <c r="G284" s="7" t="s">
        <v>50</v>
      </c>
      <c r="H284" t="s">
        <v>65</v>
      </c>
    </row>
    <row r="285" spans="1:8">
      <c r="A285">
        <v>2024</v>
      </c>
      <c r="B285" t="s">
        <v>35</v>
      </c>
      <c r="C285" t="s">
        <v>52</v>
      </c>
      <c r="D285" t="s">
        <v>64</v>
      </c>
      <c r="E285" s="9">
        <v>81.53</v>
      </c>
      <c r="F285" t="s">
        <v>65</v>
      </c>
      <c r="G285" s="7" t="s">
        <v>50</v>
      </c>
      <c r="H285" t="s">
        <v>65</v>
      </c>
    </row>
    <row r="286" spans="1:8">
      <c r="A286">
        <v>2024</v>
      </c>
      <c r="B286" t="s">
        <v>25</v>
      </c>
      <c r="C286" t="s">
        <v>47</v>
      </c>
      <c r="D286" t="s">
        <v>57</v>
      </c>
      <c r="E286" s="9">
        <v>500</v>
      </c>
      <c r="F286" t="s">
        <v>89</v>
      </c>
      <c r="G286" t="s">
        <v>59</v>
      </c>
      <c r="H286" s="7" t="s">
        <v>83</v>
      </c>
    </row>
    <row r="287" spans="1:8">
      <c r="A287">
        <v>2024</v>
      </c>
      <c r="B287" t="s">
        <v>25</v>
      </c>
      <c r="C287" t="s">
        <v>47</v>
      </c>
      <c r="D287" t="s">
        <v>48</v>
      </c>
      <c r="E287" s="9">
        <v>6.5</v>
      </c>
      <c r="F287" t="s">
        <v>91</v>
      </c>
      <c r="G287" t="s">
        <v>59</v>
      </c>
      <c r="H287" s="7" t="s">
        <v>84</v>
      </c>
    </row>
    <row r="288" spans="1:8">
      <c r="A288">
        <v>2024</v>
      </c>
      <c r="B288" t="s">
        <v>25</v>
      </c>
      <c r="C288" t="s">
        <v>47</v>
      </c>
      <c r="D288" t="s">
        <v>48</v>
      </c>
      <c r="E288" s="9">
        <v>8</v>
      </c>
      <c r="F288" t="s">
        <v>92</v>
      </c>
      <c r="G288" t="s">
        <v>59</v>
      </c>
      <c r="H288" t="s">
        <v>86</v>
      </c>
    </row>
    <row r="289" spans="1:8">
      <c r="A289">
        <v>2024</v>
      </c>
      <c r="B289" t="s">
        <v>25</v>
      </c>
      <c r="C289" t="s">
        <v>47</v>
      </c>
      <c r="D289" t="s">
        <v>48</v>
      </c>
      <c r="E289" s="9">
        <v>28</v>
      </c>
      <c r="F289" t="s">
        <v>91</v>
      </c>
      <c r="G289" t="s">
        <v>59</v>
      </c>
      <c r="H289" s="7" t="s">
        <v>84</v>
      </c>
    </row>
    <row r="290" spans="1:8">
      <c r="A290">
        <v>2024</v>
      </c>
      <c r="B290" t="s">
        <v>25</v>
      </c>
      <c r="C290" t="s">
        <v>47</v>
      </c>
      <c r="D290" t="s">
        <v>60</v>
      </c>
      <c r="E290" s="9">
        <v>170</v>
      </c>
      <c r="F290" t="s">
        <v>69</v>
      </c>
      <c r="G290" t="s">
        <v>59</v>
      </c>
      <c r="H290" t="s">
        <v>86</v>
      </c>
    </row>
    <row r="291" spans="1:8">
      <c r="A291">
        <v>2024</v>
      </c>
      <c r="B291" t="s">
        <v>25</v>
      </c>
      <c r="C291" t="s">
        <v>47</v>
      </c>
      <c r="D291" t="s">
        <v>60</v>
      </c>
      <c r="E291" s="9">
        <v>79</v>
      </c>
      <c r="F291" t="s">
        <v>79</v>
      </c>
      <c r="G291" t="s">
        <v>59</v>
      </c>
      <c r="H291" t="s">
        <v>84</v>
      </c>
    </row>
    <row r="292" spans="1:8">
      <c r="A292">
        <v>2024</v>
      </c>
      <c r="B292" t="s">
        <v>25</v>
      </c>
      <c r="C292" t="s">
        <v>47</v>
      </c>
      <c r="D292" t="s">
        <v>62</v>
      </c>
      <c r="E292" s="9">
        <v>173.1</v>
      </c>
      <c r="F292" s="7" t="s">
        <v>62</v>
      </c>
      <c r="G292" t="s">
        <v>59</v>
      </c>
      <c r="H292" t="s">
        <v>84</v>
      </c>
    </row>
    <row r="293" spans="1:8">
      <c r="A293">
        <v>2024</v>
      </c>
      <c r="B293" t="s">
        <v>25</v>
      </c>
      <c r="C293" t="s">
        <v>52</v>
      </c>
      <c r="D293" t="s">
        <v>63</v>
      </c>
      <c r="E293" s="9">
        <v>141.1</v>
      </c>
      <c r="F293" s="7" t="s">
        <v>63</v>
      </c>
      <c r="G293" t="s">
        <v>59</v>
      </c>
      <c r="H293" t="s">
        <v>65</v>
      </c>
    </row>
    <row r="294" spans="1:8">
      <c r="A294">
        <v>2024</v>
      </c>
      <c r="B294" t="s">
        <v>25</v>
      </c>
      <c r="C294" t="s">
        <v>52</v>
      </c>
      <c r="D294" t="s">
        <v>64</v>
      </c>
      <c r="E294" s="9">
        <v>84.3</v>
      </c>
      <c r="F294" t="s">
        <v>65</v>
      </c>
      <c r="G294" s="7" t="s">
        <v>50</v>
      </c>
      <c r="H294" t="s">
        <v>65</v>
      </c>
    </row>
    <row r="295" spans="1:8">
      <c r="A295">
        <v>2024</v>
      </c>
      <c r="B295" t="s">
        <v>25</v>
      </c>
      <c r="C295" t="s">
        <v>52</v>
      </c>
      <c r="D295" t="s">
        <v>64</v>
      </c>
      <c r="E295" s="9">
        <v>42.99</v>
      </c>
      <c r="F295" t="s">
        <v>65</v>
      </c>
      <c r="G295" t="s">
        <v>50</v>
      </c>
      <c r="H295" t="s">
        <v>65</v>
      </c>
    </row>
    <row r="296" spans="1:8">
      <c r="A296">
        <v>2024</v>
      </c>
      <c r="B296" t="s">
        <v>25</v>
      </c>
      <c r="C296" t="s">
        <v>52</v>
      </c>
      <c r="D296" t="s">
        <v>53</v>
      </c>
      <c r="E296" s="9">
        <v>557.49</v>
      </c>
      <c r="F296" t="s">
        <v>78</v>
      </c>
      <c r="G296" s="7" t="s">
        <v>50</v>
      </c>
      <c r="H296" t="s">
        <v>65</v>
      </c>
    </row>
    <row r="297" spans="1:8">
      <c r="A297">
        <v>2024</v>
      </c>
      <c r="B297" t="s">
        <v>26</v>
      </c>
      <c r="C297" t="s">
        <v>47</v>
      </c>
      <c r="D297" t="s">
        <v>57</v>
      </c>
      <c r="E297" s="9">
        <v>500</v>
      </c>
      <c r="F297" t="s">
        <v>89</v>
      </c>
      <c r="G297" t="s">
        <v>59</v>
      </c>
      <c r="H297" s="7" t="s">
        <v>83</v>
      </c>
    </row>
    <row r="298" spans="1:8">
      <c r="A298">
        <v>2024</v>
      </c>
      <c r="B298" t="s">
        <v>26</v>
      </c>
      <c r="C298" t="s">
        <v>47</v>
      </c>
      <c r="D298" t="s">
        <v>48</v>
      </c>
      <c r="E298" s="9">
        <v>20</v>
      </c>
      <c r="F298" t="s">
        <v>72</v>
      </c>
      <c r="G298" t="s">
        <v>59</v>
      </c>
      <c r="H298" s="7" t="s">
        <v>83</v>
      </c>
    </row>
    <row r="299" spans="1:8">
      <c r="A299">
        <v>2024</v>
      </c>
      <c r="B299" t="s">
        <v>26</v>
      </c>
      <c r="C299" t="s">
        <v>47</v>
      </c>
      <c r="D299" t="s">
        <v>60</v>
      </c>
      <c r="E299" s="9">
        <v>20</v>
      </c>
      <c r="F299" t="s">
        <v>61</v>
      </c>
      <c r="G299" t="s">
        <v>59</v>
      </c>
      <c r="H299" t="s">
        <v>84</v>
      </c>
    </row>
    <row r="300" spans="1:8">
      <c r="A300">
        <v>2024</v>
      </c>
      <c r="B300" t="s">
        <v>26</v>
      </c>
      <c r="C300" t="s">
        <v>47</v>
      </c>
      <c r="D300" t="s">
        <v>48</v>
      </c>
      <c r="E300" s="9">
        <v>8</v>
      </c>
      <c r="F300" t="s">
        <v>92</v>
      </c>
      <c r="G300" t="s">
        <v>59</v>
      </c>
      <c r="H300" t="s">
        <v>86</v>
      </c>
    </row>
    <row r="301" spans="1:8">
      <c r="A301">
        <v>2024</v>
      </c>
      <c r="B301" t="s">
        <v>26</v>
      </c>
      <c r="C301" t="s">
        <v>52</v>
      </c>
      <c r="D301" t="s">
        <v>64</v>
      </c>
      <c r="E301" s="9">
        <v>19</v>
      </c>
      <c r="F301" t="s">
        <v>66</v>
      </c>
      <c r="G301" t="s">
        <v>59</v>
      </c>
      <c r="H301" t="s">
        <v>65</v>
      </c>
    </row>
    <row r="302" spans="1:8">
      <c r="A302">
        <v>2024</v>
      </c>
      <c r="B302" t="s">
        <v>26</v>
      </c>
      <c r="C302" t="s">
        <v>47</v>
      </c>
      <c r="D302" t="s">
        <v>68</v>
      </c>
      <c r="E302" s="9">
        <v>43</v>
      </c>
      <c r="F302" t="s">
        <v>68</v>
      </c>
      <c r="G302" t="s">
        <v>59</v>
      </c>
      <c r="H302" t="s">
        <v>84</v>
      </c>
    </row>
    <row r="303" spans="1:8">
      <c r="A303">
        <v>2024</v>
      </c>
      <c r="B303" t="s">
        <v>26</v>
      </c>
      <c r="C303" t="s">
        <v>47</v>
      </c>
      <c r="D303" t="s">
        <v>62</v>
      </c>
      <c r="E303" s="9">
        <v>135.91999999999999</v>
      </c>
      <c r="F303" s="7" t="s">
        <v>62</v>
      </c>
      <c r="G303" t="s">
        <v>59</v>
      </c>
      <c r="H303" t="s">
        <v>84</v>
      </c>
    </row>
    <row r="304" spans="1:8">
      <c r="A304">
        <v>2024</v>
      </c>
      <c r="B304" t="s">
        <v>26</v>
      </c>
      <c r="C304" t="s">
        <v>52</v>
      </c>
      <c r="D304" t="s">
        <v>63</v>
      </c>
      <c r="E304" s="9">
        <v>143.19999999999999</v>
      </c>
      <c r="F304" s="7" t="s">
        <v>63</v>
      </c>
      <c r="G304" t="s">
        <v>59</v>
      </c>
      <c r="H304" t="s">
        <v>65</v>
      </c>
    </row>
    <row r="305" spans="1:8">
      <c r="A305">
        <v>2024</v>
      </c>
      <c r="B305" t="s">
        <v>26</v>
      </c>
      <c r="C305" t="s">
        <v>52</v>
      </c>
      <c r="D305" t="s">
        <v>64</v>
      </c>
      <c r="E305" s="9">
        <v>165.14</v>
      </c>
      <c r="F305" t="s">
        <v>65</v>
      </c>
      <c r="G305" s="7" t="s">
        <v>50</v>
      </c>
      <c r="H305" t="s">
        <v>65</v>
      </c>
    </row>
    <row r="306" spans="1:8">
      <c r="A306">
        <v>2024</v>
      </c>
      <c r="B306" t="s">
        <v>26</v>
      </c>
      <c r="C306" t="s">
        <v>52</v>
      </c>
      <c r="D306" t="s">
        <v>75</v>
      </c>
      <c r="E306" s="9">
        <v>85.6</v>
      </c>
      <c r="F306" t="s">
        <v>75</v>
      </c>
      <c r="G306" s="7" t="s">
        <v>59</v>
      </c>
      <c r="H306" t="s">
        <v>65</v>
      </c>
    </row>
    <row r="307" spans="1:8">
      <c r="A307">
        <v>2024</v>
      </c>
      <c r="B307" t="s">
        <v>26</v>
      </c>
      <c r="C307" t="s">
        <v>52</v>
      </c>
      <c r="D307" t="s">
        <v>64</v>
      </c>
      <c r="E307" s="9">
        <v>21</v>
      </c>
      <c r="F307" t="s">
        <v>29</v>
      </c>
      <c r="G307" s="7" t="s">
        <v>50</v>
      </c>
      <c r="H307" t="s">
        <v>65</v>
      </c>
    </row>
    <row r="308" spans="1:8">
      <c r="A308">
        <v>2024</v>
      </c>
      <c r="B308" t="s">
        <v>5</v>
      </c>
      <c r="C308" t="s">
        <v>47</v>
      </c>
      <c r="D308" t="s">
        <v>57</v>
      </c>
      <c r="E308" s="9">
        <v>500</v>
      </c>
      <c r="F308" t="s">
        <v>89</v>
      </c>
      <c r="G308" t="s">
        <v>59</v>
      </c>
      <c r="H308" s="7" t="s">
        <v>83</v>
      </c>
    </row>
    <row r="309" spans="1:8">
      <c r="A309">
        <v>2024</v>
      </c>
      <c r="B309" t="s">
        <v>5</v>
      </c>
      <c r="C309" t="s">
        <v>47</v>
      </c>
      <c r="D309" t="s">
        <v>48</v>
      </c>
      <c r="E309" s="9">
        <v>25</v>
      </c>
      <c r="F309" t="s">
        <v>72</v>
      </c>
      <c r="G309" t="s">
        <v>59</v>
      </c>
      <c r="H309" s="7" t="s">
        <v>83</v>
      </c>
    </row>
    <row r="310" spans="1:8">
      <c r="A310">
        <v>2024</v>
      </c>
      <c r="B310" t="s">
        <v>5</v>
      </c>
      <c r="C310" t="s">
        <v>47</v>
      </c>
      <c r="D310" t="s">
        <v>48</v>
      </c>
      <c r="E310" s="9">
        <v>32</v>
      </c>
      <c r="F310" t="s">
        <v>91</v>
      </c>
      <c r="G310" t="s">
        <v>59</v>
      </c>
      <c r="H310" s="7" t="s">
        <v>84</v>
      </c>
    </row>
    <row r="311" spans="1:8">
      <c r="A311">
        <v>2024</v>
      </c>
      <c r="B311" t="s">
        <v>5</v>
      </c>
      <c r="C311" t="s">
        <v>47</v>
      </c>
      <c r="D311" t="s">
        <v>60</v>
      </c>
      <c r="E311" s="9">
        <v>10</v>
      </c>
      <c r="F311" t="s">
        <v>61</v>
      </c>
      <c r="G311" t="s">
        <v>59</v>
      </c>
      <c r="H311" t="s">
        <v>84</v>
      </c>
    </row>
    <row r="312" spans="1:8">
      <c r="A312">
        <v>2024</v>
      </c>
      <c r="B312" t="s">
        <v>5</v>
      </c>
      <c r="C312" t="s">
        <v>47</v>
      </c>
      <c r="D312" t="s">
        <v>48</v>
      </c>
      <c r="E312" s="9">
        <v>25</v>
      </c>
      <c r="F312" t="s">
        <v>72</v>
      </c>
      <c r="G312" t="s">
        <v>59</v>
      </c>
      <c r="H312" s="7" t="s">
        <v>83</v>
      </c>
    </row>
    <row r="313" spans="1:8">
      <c r="A313">
        <v>2024</v>
      </c>
      <c r="B313" t="s">
        <v>5</v>
      </c>
      <c r="C313" t="s">
        <v>47</v>
      </c>
      <c r="D313" t="s">
        <v>60</v>
      </c>
      <c r="E313" s="9">
        <v>25.12</v>
      </c>
      <c r="F313" t="s">
        <v>61</v>
      </c>
      <c r="G313" t="s">
        <v>59</v>
      </c>
      <c r="H313" t="s">
        <v>84</v>
      </c>
    </row>
    <row r="314" spans="1:8">
      <c r="A314">
        <v>2024</v>
      </c>
      <c r="B314" t="s">
        <v>5</v>
      </c>
      <c r="C314" t="s">
        <v>47</v>
      </c>
      <c r="D314" t="s">
        <v>62</v>
      </c>
      <c r="E314" s="9">
        <v>220.75</v>
      </c>
      <c r="F314" s="7" t="s">
        <v>62</v>
      </c>
      <c r="G314" t="s">
        <v>59</v>
      </c>
      <c r="H314" t="s">
        <v>84</v>
      </c>
    </row>
    <row r="315" spans="1:8">
      <c r="A315">
        <v>2024</v>
      </c>
      <c r="B315" t="s">
        <v>5</v>
      </c>
      <c r="C315" t="s">
        <v>52</v>
      </c>
      <c r="D315" t="s">
        <v>63</v>
      </c>
      <c r="E315" s="9">
        <v>117.73</v>
      </c>
      <c r="F315" s="7" t="s">
        <v>63</v>
      </c>
      <c r="G315" t="s">
        <v>59</v>
      </c>
      <c r="H315" t="s">
        <v>65</v>
      </c>
    </row>
    <row r="316" spans="1:8">
      <c r="A316">
        <v>2024</v>
      </c>
      <c r="B316" t="s">
        <v>5</v>
      </c>
      <c r="C316" t="s">
        <v>52</v>
      </c>
      <c r="D316" t="s">
        <v>64</v>
      </c>
      <c r="E316" s="9">
        <v>46</v>
      </c>
      <c r="F316" t="s">
        <v>65</v>
      </c>
      <c r="G316" s="7" t="s">
        <v>50</v>
      </c>
      <c r="H316" t="s">
        <v>65</v>
      </c>
    </row>
    <row r="317" spans="1:8">
      <c r="A317">
        <v>2024</v>
      </c>
      <c r="B317" t="s">
        <v>5</v>
      </c>
      <c r="C317" t="s">
        <v>52</v>
      </c>
      <c r="D317" t="s">
        <v>64</v>
      </c>
      <c r="E317" s="9">
        <v>17.8</v>
      </c>
      <c r="F317" t="s">
        <v>65</v>
      </c>
      <c r="G317" t="s">
        <v>50</v>
      </c>
      <c r="H317" t="s">
        <v>65</v>
      </c>
    </row>
    <row r="318" spans="1:8">
      <c r="A318">
        <v>2024</v>
      </c>
      <c r="B318" t="s">
        <v>12</v>
      </c>
      <c r="C318" t="s">
        <v>47</v>
      </c>
      <c r="D318" t="s">
        <v>57</v>
      </c>
      <c r="E318" s="9">
        <v>500</v>
      </c>
      <c r="F318" t="s">
        <v>89</v>
      </c>
      <c r="G318" t="s">
        <v>59</v>
      </c>
      <c r="H318" s="7" t="s">
        <v>83</v>
      </c>
    </row>
    <row r="319" spans="1:8">
      <c r="A319">
        <v>2024</v>
      </c>
      <c r="B319" t="s">
        <v>12</v>
      </c>
      <c r="C319" t="s">
        <v>47</v>
      </c>
      <c r="D319" t="s">
        <v>48</v>
      </c>
      <c r="E319" s="9">
        <v>50</v>
      </c>
      <c r="F319" t="s">
        <v>72</v>
      </c>
      <c r="G319" t="s">
        <v>59</v>
      </c>
      <c r="H319" s="7" t="s">
        <v>83</v>
      </c>
    </row>
    <row r="320" spans="1:8">
      <c r="A320">
        <v>2024</v>
      </c>
      <c r="B320" t="s">
        <v>12</v>
      </c>
      <c r="C320" t="s">
        <v>47</v>
      </c>
      <c r="D320" t="s">
        <v>48</v>
      </c>
      <c r="E320" s="9">
        <v>35</v>
      </c>
      <c r="F320" t="s">
        <v>91</v>
      </c>
      <c r="G320" t="s">
        <v>59</v>
      </c>
      <c r="H320" s="7" t="s">
        <v>84</v>
      </c>
    </row>
    <row r="321" spans="1:8">
      <c r="A321">
        <v>2024</v>
      </c>
      <c r="B321" t="s">
        <v>12</v>
      </c>
      <c r="C321" t="s">
        <v>47</v>
      </c>
      <c r="D321" t="s">
        <v>68</v>
      </c>
      <c r="E321" s="9">
        <v>45</v>
      </c>
      <c r="F321" t="s">
        <v>68</v>
      </c>
      <c r="G321" t="s">
        <v>59</v>
      </c>
      <c r="H321" t="s">
        <v>84</v>
      </c>
    </row>
    <row r="322" spans="1:8">
      <c r="A322">
        <v>2024</v>
      </c>
      <c r="B322" t="s">
        <v>12</v>
      </c>
      <c r="C322" t="s">
        <v>47</v>
      </c>
      <c r="D322" t="s">
        <v>62</v>
      </c>
      <c r="E322" s="9">
        <v>179.13</v>
      </c>
      <c r="F322" s="7" t="s">
        <v>62</v>
      </c>
      <c r="G322" t="s">
        <v>59</v>
      </c>
      <c r="H322" t="s">
        <v>84</v>
      </c>
    </row>
    <row r="323" spans="1:8">
      <c r="A323">
        <v>2024</v>
      </c>
      <c r="B323" t="s">
        <v>12</v>
      </c>
      <c r="C323" t="s">
        <v>52</v>
      </c>
      <c r="D323" t="s">
        <v>63</v>
      </c>
      <c r="E323" s="9">
        <v>25</v>
      </c>
      <c r="F323" s="7" t="s">
        <v>63</v>
      </c>
      <c r="G323" t="s">
        <v>59</v>
      </c>
      <c r="H323" t="s">
        <v>65</v>
      </c>
    </row>
    <row r="324" spans="1:8">
      <c r="A324">
        <v>2024</v>
      </c>
      <c r="B324" t="s">
        <v>12</v>
      </c>
      <c r="C324" t="s">
        <v>52</v>
      </c>
      <c r="D324" t="s">
        <v>64</v>
      </c>
      <c r="E324" s="9">
        <v>72.680000000000007</v>
      </c>
      <c r="F324" t="s">
        <v>65</v>
      </c>
      <c r="G324" s="7" t="s">
        <v>50</v>
      </c>
      <c r="H324" t="s">
        <v>65</v>
      </c>
    </row>
    <row r="325" spans="1:8">
      <c r="A325">
        <v>2024</v>
      </c>
      <c r="B325" t="s">
        <v>12</v>
      </c>
      <c r="C325" t="s">
        <v>52</v>
      </c>
      <c r="D325" t="s">
        <v>64</v>
      </c>
      <c r="E325" s="9">
        <v>10.9</v>
      </c>
      <c r="F325" t="s">
        <v>65</v>
      </c>
      <c r="G325" t="s">
        <v>50</v>
      </c>
      <c r="H325" t="s">
        <v>65</v>
      </c>
    </row>
    <row r="326" spans="1:8">
      <c r="A326">
        <v>2024</v>
      </c>
      <c r="B326" t="s">
        <v>14</v>
      </c>
      <c r="C326" t="s">
        <v>47</v>
      </c>
      <c r="D326" t="s">
        <v>57</v>
      </c>
      <c r="E326" s="9">
        <v>500</v>
      </c>
      <c r="F326" t="s">
        <v>89</v>
      </c>
      <c r="G326" t="s">
        <v>59</v>
      </c>
      <c r="H326" s="7" t="s">
        <v>83</v>
      </c>
    </row>
    <row r="327" spans="1:8">
      <c r="A327">
        <v>2024</v>
      </c>
      <c r="B327" t="s">
        <v>14</v>
      </c>
      <c r="C327" t="s">
        <v>47</v>
      </c>
      <c r="D327" t="s">
        <v>48</v>
      </c>
      <c r="E327" s="9">
        <v>50</v>
      </c>
      <c r="F327" t="s">
        <v>72</v>
      </c>
      <c r="G327" t="s">
        <v>59</v>
      </c>
      <c r="H327" s="7" t="s">
        <v>83</v>
      </c>
    </row>
    <row r="328" spans="1:8">
      <c r="A328">
        <v>2024</v>
      </c>
      <c r="B328" t="s">
        <v>14</v>
      </c>
      <c r="C328" t="s">
        <v>47</v>
      </c>
      <c r="D328" t="s">
        <v>48</v>
      </c>
      <c r="E328" s="9">
        <v>32</v>
      </c>
      <c r="F328" t="s">
        <v>91</v>
      </c>
      <c r="G328" t="s">
        <v>59</v>
      </c>
      <c r="H328" s="7" t="s">
        <v>84</v>
      </c>
    </row>
    <row r="329" spans="1:8">
      <c r="A329">
        <v>2024</v>
      </c>
      <c r="B329" t="s">
        <v>14</v>
      </c>
      <c r="C329" t="s">
        <v>47</v>
      </c>
      <c r="D329" t="s">
        <v>60</v>
      </c>
      <c r="E329" s="9">
        <v>25.61</v>
      </c>
      <c r="F329" t="s">
        <v>61</v>
      </c>
      <c r="G329" t="s">
        <v>59</v>
      </c>
      <c r="H329" t="s">
        <v>84</v>
      </c>
    </row>
    <row r="330" spans="1:8">
      <c r="A330">
        <v>2024</v>
      </c>
      <c r="B330" t="s">
        <v>14</v>
      </c>
      <c r="C330" t="s">
        <v>47</v>
      </c>
      <c r="D330" t="s">
        <v>60</v>
      </c>
      <c r="E330" s="9">
        <v>26.56</v>
      </c>
      <c r="F330" t="s">
        <v>61</v>
      </c>
      <c r="G330" t="s">
        <v>59</v>
      </c>
      <c r="H330" t="s">
        <v>84</v>
      </c>
    </row>
    <row r="331" spans="1:8">
      <c r="A331">
        <v>2024</v>
      </c>
      <c r="B331" t="s">
        <v>14</v>
      </c>
      <c r="C331" t="s">
        <v>47</v>
      </c>
      <c r="D331" t="s">
        <v>48</v>
      </c>
      <c r="E331" s="9">
        <v>50</v>
      </c>
      <c r="F331" t="s">
        <v>72</v>
      </c>
      <c r="G331" t="s">
        <v>59</v>
      </c>
      <c r="H331" s="7" t="s">
        <v>83</v>
      </c>
    </row>
    <row r="332" spans="1:8">
      <c r="A332">
        <v>2024</v>
      </c>
      <c r="B332" t="s">
        <v>14</v>
      </c>
      <c r="C332" t="s">
        <v>47</v>
      </c>
      <c r="D332" t="s">
        <v>62</v>
      </c>
      <c r="E332" s="9">
        <v>182.65</v>
      </c>
      <c r="F332" s="7" t="s">
        <v>62</v>
      </c>
      <c r="G332" t="s">
        <v>59</v>
      </c>
      <c r="H332" t="s">
        <v>84</v>
      </c>
    </row>
    <row r="333" spans="1:8">
      <c r="A333">
        <v>2024</v>
      </c>
      <c r="B333" t="s">
        <v>14</v>
      </c>
      <c r="C333" t="s">
        <v>52</v>
      </c>
      <c r="D333" t="s">
        <v>63</v>
      </c>
      <c r="E333" s="9">
        <v>37.200000000000003</v>
      </c>
      <c r="F333" s="7" t="s">
        <v>63</v>
      </c>
      <c r="G333" t="s">
        <v>59</v>
      </c>
      <c r="H333" t="s">
        <v>65</v>
      </c>
    </row>
    <row r="334" spans="1:8">
      <c r="A334">
        <v>2024</v>
      </c>
      <c r="B334" t="s">
        <v>14</v>
      </c>
      <c r="C334" t="s">
        <v>52</v>
      </c>
      <c r="D334" t="s">
        <v>64</v>
      </c>
      <c r="E334" s="9">
        <v>105.8</v>
      </c>
      <c r="F334" t="s">
        <v>65</v>
      </c>
      <c r="G334" s="7" t="s">
        <v>50</v>
      </c>
      <c r="H334" t="s">
        <v>65</v>
      </c>
    </row>
    <row r="335" spans="1:8">
      <c r="A335">
        <v>2024</v>
      </c>
      <c r="B335" t="s">
        <v>14</v>
      </c>
      <c r="C335" t="s">
        <v>52</v>
      </c>
      <c r="D335" t="s">
        <v>64</v>
      </c>
      <c r="E335" s="9">
        <v>33.99</v>
      </c>
      <c r="F335" t="s">
        <v>29</v>
      </c>
      <c r="G335" s="7" t="s">
        <v>50</v>
      </c>
      <c r="H335" t="s">
        <v>65</v>
      </c>
    </row>
    <row r="336" spans="1:8">
      <c r="A336">
        <v>2024</v>
      </c>
      <c r="B336" t="s">
        <v>14</v>
      </c>
      <c r="C336" t="s">
        <v>47</v>
      </c>
      <c r="D336" t="s">
        <v>60</v>
      </c>
      <c r="E336" s="9">
        <v>8.1</v>
      </c>
      <c r="F336" t="s">
        <v>94</v>
      </c>
      <c r="G336" t="s">
        <v>50</v>
      </c>
      <c r="H336" t="s">
        <v>86</v>
      </c>
    </row>
    <row r="337" spans="1:8">
      <c r="A337">
        <v>2024</v>
      </c>
      <c r="B337" t="s">
        <v>14</v>
      </c>
      <c r="C337" t="s">
        <v>47</v>
      </c>
      <c r="D337" t="s">
        <v>60</v>
      </c>
      <c r="E337" s="9">
        <v>20</v>
      </c>
      <c r="F337" t="s">
        <v>94</v>
      </c>
      <c r="G337" t="s">
        <v>50</v>
      </c>
      <c r="H337" t="s">
        <v>86</v>
      </c>
    </row>
    <row r="338" spans="1:8">
      <c r="A338">
        <v>2024</v>
      </c>
      <c r="B338" t="s">
        <v>15</v>
      </c>
      <c r="C338" t="s">
        <v>47</v>
      </c>
      <c r="D338" t="s">
        <v>57</v>
      </c>
      <c r="E338" s="9">
        <v>500</v>
      </c>
      <c r="F338" t="s">
        <v>89</v>
      </c>
      <c r="G338" t="s">
        <v>59</v>
      </c>
      <c r="H338" s="7" t="s">
        <v>83</v>
      </c>
    </row>
    <row r="339" spans="1:8">
      <c r="A339">
        <v>2024</v>
      </c>
      <c r="B339" t="s">
        <v>15</v>
      </c>
      <c r="C339" t="s">
        <v>47</v>
      </c>
      <c r="D339" t="s">
        <v>48</v>
      </c>
      <c r="E339" s="9">
        <v>50</v>
      </c>
      <c r="F339" t="s">
        <v>72</v>
      </c>
      <c r="G339" t="s">
        <v>59</v>
      </c>
      <c r="H339" s="7" t="s">
        <v>83</v>
      </c>
    </row>
    <row r="340" spans="1:8">
      <c r="A340">
        <v>2024</v>
      </c>
      <c r="B340" t="s">
        <v>15</v>
      </c>
      <c r="C340" t="s">
        <v>47</v>
      </c>
      <c r="D340" t="s">
        <v>48</v>
      </c>
      <c r="E340" s="9">
        <v>32.5</v>
      </c>
      <c r="F340" t="s">
        <v>91</v>
      </c>
      <c r="G340" t="s">
        <v>59</v>
      </c>
      <c r="H340" s="7" t="s">
        <v>84</v>
      </c>
    </row>
    <row r="341" spans="1:8">
      <c r="A341">
        <v>2024</v>
      </c>
      <c r="B341" t="s">
        <v>15</v>
      </c>
      <c r="C341" t="s">
        <v>47</v>
      </c>
      <c r="D341" t="s">
        <v>60</v>
      </c>
      <c r="E341" s="9">
        <v>25</v>
      </c>
      <c r="F341" t="s">
        <v>61</v>
      </c>
      <c r="G341" t="s">
        <v>59</v>
      </c>
      <c r="H341" t="s">
        <v>84</v>
      </c>
    </row>
    <row r="342" spans="1:8">
      <c r="A342">
        <v>2024</v>
      </c>
      <c r="B342" t="s">
        <v>15</v>
      </c>
      <c r="C342" t="s">
        <v>47</v>
      </c>
      <c r="D342" t="s">
        <v>68</v>
      </c>
      <c r="E342" s="9">
        <v>40</v>
      </c>
      <c r="F342" t="s">
        <v>68</v>
      </c>
      <c r="G342" t="s">
        <v>59</v>
      </c>
      <c r="H342" t="s">
        <v>84</v>
      </c>
    </row>
    <row r="343" spans="1:8">
      <c r="A343">
        <v>2024</v>
      </c>
      <c r="B343" t="s">
        <v>15</v>
      </c>
      <c r="C343" t="s">
        <v>47</v>
      </c>
      <c r="D343" t="s">
        <v>62</v>
      </c>
      <c r="E343" s="9">
        <v>206.73</v>
      </c>
      <c r="F343" s="7" t="s">
        <v>62</v>
      </c>
      <c r="G343" t="s">
        <v>59</v>
      </c>
      <c r="H343" t="s">
        <v>84</v>
      </c>
    </row>
    <row r="344" spans="1:8">
      <c r="A344">
        <v>2024</v>
      </c>
      <c r="B344" t="s">
        <v>15</v>
      </c>
      <c r="C344" t="s">
        <v>52</v>
      </c>
      <c r="D344" t="s">
        <v>64</v>
      </c>
      <c r="E344" s="9">
        <v>46.11</v>
      </c>
      <c r="F344" t="s">
        <v>95</v>
      </c>
      <c r="G344" s="7" t="s">
        <v>59</v>
      </c>
      <c r="H344" t="s">
        <v>65</v>
      </c>
    </row>
    <row r="345" spans="1:8">
      <c r="A345">
        <v>2024</v>
      </c>
      <c r="B345" t="s">
        <v>15</v>
      </c>
      <c r="C345" t="s">
        <v>52</v>
      </c>
      <c r="D345" t="s">
        <v>63</v>
      </c>
      <c r="E345" s="9">
        <v>89.6</v>
      </c>
      <c r="F345" s="7" t="s">
        <v>63</v>
      </c>
      <c r="G345" t="s">
        <v>59</v>
      </c>
      <c r="H345" t="s">
        <v>65</v>
      </c>
    </row>
    <row r="346" spans="1:8">
      <c r="A346">
        <v>2024</v>
      </c>
      <c r="B346" t="s">
        <v>15</v>
      </c>
      <c r="C346" t="s">
        <v>52</v>
      </c>
      <c r="D346" t="s">
        <v>64</v>
      </c>
      <c r="E346" s="9">
        <v>96.89</v>
      </c>
      <c r="F346" t="s">
        <v>65</v>
      </c>
      <c r="G346" s="7" t="s">
        <v>50</v>
      </c>
      <c r="H346" t="s">
        <v>65</v>
      </c>
    </row>
    <row r="347" spans="1:8">
      <c r="A347">
        <v>2024</v>
      </c>
      <c r="B347" t="s">
        <v>15</v>
      </c>
      <c r="C347" t="s">
        <v>52</v>
      </c>
      <c r="D347" t="s">
        <v>75</v>
      </c>
      <c r="E347" s="9">
        <v>50</v>
      </c>
      <c r="F347" t="s">
        <v>75</v>
      </c>
      <c r="G347" s="7" t="s">
        <v>59</v>
      </c>
      <c r="H347" t="s">
        <v>65</v>
      </c>
    </row>
    <row r="348" spans="1:8">
      <c r="A348">
        <v>2024</v>
      </c>
      <c r="B348" t="s">
        <v>15</v>
      </c>
      <c r="C348" t="s">
        <v>52</v>
      </c>
      <c r="D348" t="s">
        <v>64</v>
      </c>
      <c r="E348" s="9">
        <v>10.99</v>
      </c>
      <c r="F348" t="s">
        <v>29</v>
      </c>
      <c r="G348" s="7" t="s">
        <v>50</v>
      </c>
      <c r="H348" t="s">
        <v>65</v>
      </c>
    </row>
    <row r="349" spans="1:8">
      <c r="A349">
        <v>2024</v>
      </c>
      <c r="B349" t="s">
        <v>15</v>
      </c>
      <c r="C349" t="s">
        <v>47</v>
      </c>
      <c r="D349" t="s">
        <v>60</v>
      </c>
      <c r="E349" s="9">
        <v>5.4</v>
      </c>
      <c r="F349" t="s">
        <v>96</v>
      </c>
      <c r="G349" t="s">
        <v>50</v>
      </c>
      <c r="H349" t="s">
        <v>84</v>
      </c>
    </row>
    <row r="350" spans="1:8">
      <c r="A350">
        <v>2024</v>
      </c>
      <c r="B350" t="s">
        <v>16</v>
      </c>
      <c r="C350" t="s">
        <v>47</v>
      </c>
      <c r="D350" t="s">
        <v>57</v>
      </c>
      <c r="E350" s="9">
        <v>500</v>
      </c>
      <c r="F350" t="s">
        <v>89</v>
      </c>
      <c r="G350" t="s">
        <v>59</v>
      </c>
      <c r="H350" s="7" t="s">
        <v>83</v>
      </c>
    </row>
    <row r="351" spans="1:8">
      <c r="A351">
        <v>2024</v>
      </c>
      <c r="B351" t="s">
        <v>16</v>
      </c>
      <c r="C351" t="s">
        <v>47</v>
      </c>
      <c r="D351" t="s">
        <v>48</v>
      </c>
      <c r="E351" s="9">
        <v>50</v>
      </c>
      <c r="F351" t="s">
        <v>72</v>
      </c>
      <c r="G351" t="s">
        <v>59</v>
      </c>
      <c r="H351" s="7" t="s">
        <v>83</v>
      </c>
    </row>
    <row r="352" spans="1:8">
      <c r="A352">
        <v>2024</v>
      </c>
      <c r="B352" t="s">
        <v>16</v>
      </c>
      <c r="C352" t="s">
        <v>47</v>
      </c>
      <c r="D352" t="s">
        <v>48</v>
      </c>
      <c r="E352" s="9">
        <v>31</v>
      </c>
      <c r="F352" t="s">
        <v>91</v>
      </c>
      <c r="G352" t="s">
        <v>59</v>
      </c>
      <c r="H352" s="7" t="s">
        <v>84</v>
      </c>
    </row>
    <row r="353" spans="1:8">
      <c r="A353">
        <v>2024</v>
      </c>
      <c r="B353" t="s">
        <v>16</v>
      </c>
      <c r="C353" t="s">
        <v>47</v>
      </c>
      <c r="D353" t="s">
        <v>62</v>
      </c>
      <c r="E353" s="9">
        <v>103.45</v>
      </c>
      <c r="F353" s="7" t="s">
        <v>62</v>
      </c>
      <c r="G353" t="s">
        <v>59</v>
      </c>
      <c r="H353" t="s">
        <v>84</v>
      </c>
    </row>
    <row r="354" spans="1:8">
      <c r="A354">
        <v>2024</v>
      </c>
      <c r="B354" t="s">
        <v>16</v>
      </c>
      <c r="C354" t="s">
        <v>52</v>
      </c>
      <c r="D354" t="s">
        <v>64</v>
      </c>
      <c r="E354" s="9">
        <v>11.5</v>
      </c>
      <c r="F354" t="s">
        <v>95</v>
      </c>
      <c r="G354" t="s">
        <v>59</v>
      </c>
      <c r="H354" t="s">
        <v>65</v>
      </c>
    </row>
    <row r="355" spans="1:8">
      <c r="A355">
        <v>2024</v>
      </c>
      <c r="B355" t="s">
        <v>16</v>
      </c>
      <c r="C355" t="s">
        <v>52</v>
      </c>
      <c r="D355" t="s">
        <v>63</v>
      </c>
      <c r="E355" s="9">
        <v>110.24</v>
      </c>
      <c r="F355" s="7" t="s">
        <v>63</v>
      </c>
      <c r="G355" t="s">
        <v>59</v>
      </c>
      <c r="H355" t="s">
        <v>65</v>
      </c>
    </row>
    <row r="356" spans="1:8">
      <c r="A356">
        <v>2024</v>
      </c>
      <c r="B356" t="s">
        <v>16</v>
      </c>
      <c r="C356" t="s">
        <v>52</v>
      </c>
      <c r="D356" t="s">
        <v>64</v>
      </c>
      <c r="E356" s="9">
        <v>169.69</v>
      </c>
      <c r="F356" t="s">
        <v>65</v>
      </c>
      <c r="G356" s="7" t="s">
        <v>50</v>
      </c>
      <c r="H356" t="s">
        <v>65</v>
      </c>
    </row>
    <row r="357" spans="1:8">
      <c r="A357">
        <v>2024</v>
      </c>
      <c r="B357" t="s">
        <v>16</v>
      </c>
      <c r="C357" t="s">
        <v>47</v>
      </c>
      <c r="D357" t="s">
        <v>60</v>
      </c>
      <c r="E357" s="9">
        <v>21.3</v>
      </c>
      <c r="F357" t="s">
        <v>94</v>
      </c>
      <c r="G357" t="s">
        <v>50</v>
      </c>
      <c r="H357" t="s">
        <v>86</v>
      </c>
    </row>
    <row r="358" spans="1:8">
      <c r="A358">
        <v>2024</v>
      </c>
      <c r="B358" t="s">
        <v>16</v>
      </c>
      <c r="C358" t="s">
        <v>52</v>
      </c>
      <c r="D358" t="s">
        <v>64</v>
      </c>
      <c r="E358" s="9">
        <v>26.08</v>
      </c>
      <c r="F358" t="s">
        <v>65</v>
      </c>
      <c r="G358" t="s">
        <v>50</v>
      </c>
      <c r="H358" t="s">
        <v>65</v>
      </c>
    </row>
    <row r="359" spans="1:8">
      <c r="A359">
        <v>2024</v>
      </c>
      <c r="B359" t="s">
        <v>16</v>
      </c>
      <c r="C359" t="s">
        <v>47</v>
      </c>
      <c r="D359" t="s">
        <v>60</v>
      </c>
      <c r="E359" s="9">
        <v>20.5</v>
      </c>
      <c r="F359" t="s">
        <v>96</v>
      </c>
      <c r="G359" t="s">
        <v>50</v>
      </c>
      <c r="H359" t="s">
        <v>84</v>
      </c>
    </row>
    <row r="360" spans="1:8">
      <c r="A360">
        <v>2024</v>
      </c>
      <c r="B360" t="s">
        <v>17</v>
      </c>
      <c r="C360" t="s">
        <v>47</v>
      </c>
      <c r="D360" t="s">
        <v>57</v>
      </c>
      <c r="E360" s="9">
        <v>500</v>
      </c>
      <c r="F360" t="s">
        <v>89</v>
      </c>
      <c r="G360" t="s">
        <v>59</v>
      </c>
      <c r="H360" s="7" t="s">
        <v>83</v>
      </c>
    </row>
    <row r="361" spans="1:8">
      <c r="A361">
        <v>2024</v>
      </c>
      <c r="B361" t="s">
        <v>17</v>
      </c>
      <c r="C361" t="s">
        <v>47</v>
      </c>
      <c r="D361" t="s">
        <v>48</v>
      </c>
      <c r="E361" s="9">
        <v>50</v>
      </c>
      <c r="F361" t="s">
        <v>72</v>
      </c>
      <c r="G361" t="s">
        <v>59</v>
      </c>
      <c r="H361" s="7" t="s">
        <v>83</v>
      </c>
    </row>
    <row r="362" spans="1:8">
      <c r="A362">
        <v>2024</v>
      </c>
      <c r="B362" t="s">
        <v>17</v>
      </c>
      <c r="C362" t="s">
        <v>47</v>
      </c>
      <c r="D362" t="s">
        <v>48</v>
      </c>
      <c r="E362" s="9">
        <v>34</v>
      </c>
      <c r="F362" t="s">
        <v>91</v>
      </c>
      <c r="G362" t="s">
        <v>59</v>
      </c>
      <c r="H362" s="7" t="s">
        <v>84</v>
      </c>
    </row>
    <row r="363" spans="1:8">
      <c r="A363">
        <v>2024</v>
      </c>
      <c r="B363" t="s">
        <v>17</v>
      </c>
      <c r="C363" t="s">
        <v>47</v>
      </c>
      <c r="D363" t="s">
        <v>60</v>
      </c>
      <c r="E363" s="9">
        <v>20</v>
      </c>
      <c r="F363" t="s">
        <v>61</v>
      </c>
      <c r="G363" t="s">
        <v>59</v>
      </c>
      <c r="H363" t="s">
        <v>84</v>
      </c>
    </row>
    <row r="364" spans="1:8">
      <c r="A364">
        <v>2024</v>
      </c>
      <c r="B364" t="s">
        <v>17</v>
      </c>
      <c r="C364" t="s">
        <v>47</v>
      </c>
      <c r="D364" t="s">
        <v>62</v>
      </c>
      <c r="E364" s="9">
        <v>217.79</v>
      </c>
      <c r="F364" s="7" t="s">
        <v>62</v>
      </c>
      <c r="G364" t="s">
        <v>59</v>
      </c>
      <c r="H364" t="s">
        <v>84</v>
      </c>
    </row>
    <row r="365" spans="1:8">
      <c r="A365">
        <v>2024</v>
      </c>
      <c r="B365" t="s">
        <v>17</v>
      </c>
      <c r="C365" t="s">
        <v>52</v>
      </c>
      <c r="D365" t="s">
        <v>63</v>
      </c>
      <c r="E365" s="9">
        <v>16</v>
      </c>
      <c r="F365" s="7" t="s">
        <v>63</v>
      </c>
      <c r="G365" t="s">
        <v>59</v>
      </c>
      <c r="H365" t="s">
        <v>65</v>
      </c>
    </row>
    <row r="366" spans="1:8">
      <c r="A366">
        <v>2024</v>
      </c>
      <c r="B366" t="s">
        <v>17</v>
      </c>
      <c r="C366" t="s">
        <v>52</v>
      </c>
      <c r="D366" t="s">
        <v>64</v>
      </c>
      <c r="E366" s="9">
        <v>32</v>
      </c>
      <c r="F366" t="s">
        <v>85</v>
      </c>
      <c r="G366" t="s">
        <v>50</v>
      </c>
      <c r="H366" t="s">
        <v>65</v>
      </c>
    </row>
    <row r="367" spans="1:8">
      <c r="A367">
        <v>2024</v>
      </c>
      <c r="B367" t="s">
        <v>17</v>
      </c>
      <c r="C367" t="s">
        <v>47</v>
      </c>
      <c r="D367" t="s">
        <v>60</v>
      </c>
      <c r="E367" s="9">
        <v>25.7</v>
      </c>
      <c r="F367" t="s">
        <v>94</v>
      </c>
      <c r="G367" t="s">
        <v>50</v>
      </c>
      <c r="H367" t="s">
        <v>86</v>
      </c>
    </row>
    <row r="368" spans="1:8">
      <c r="A368">
        <v>2024</v>
      </c>
      <c r="B368" t="s">
        <v>17</v>
      </c>
      <c r="C368" t="s">
        <v>47</v>
      </c>
      <c r="D368" t="s">
        <v>60</v>
      </c>
      <c r="E368" s="9">
        <v>40</v>
      </c>
      <c r="F368" t="s">
        <v>94</v>
      </c>
      <c r="G368" t="s">
        <v>50</v>
      </c>
      <c r="H368" t="s">
        <v>86</v>
      </c>
    </row>
    <row r="369" spans="1:8">
      <c r="A369">
        <v>2024</v>
      </c>
      <c r="B369" t="s">
        <v>17</v>
      </c>
      <c r="C369" t="s">
        <v>52</v>
      </c>
      <c r="D369" t="s">
        <v>75</v>
      </c>
      <c r="E369" s="9">
        <v>340.5</v>
      </c>
      <c r="F369" t="s">
        <v>75</v>
      </c>
      <c r="G369" s="7" t="s">
        <v>59</v>
      </c>
      <c r="H369" t="s">
        <v>65</v>
      </c>
    </row>
    <row r="370" spans="1:8">
      <c r="A370">
        <v>2024</v>
      </c>
      <c r="B370" t="s">
        <v>17</v>
      </c>
      <c r="C370" t="s">
        <v>71</v>
      </c>
      <c r="D370" t="s">
        <v>71</v>
      </c>
      <c r="E370" s="9">
        <v>15</v>
      </c>
      <c r="G370" t="s">
        <v>50</v>
      </c>
      <c r="H370" t="s">
        <v>65</v>
      </c>
    </row>
    <row r="371" spans="1:8">
      <c r="A371">
        <v>2024</v>
      </c>
      <c r="B371" t="s">
        <v>17</v>
      </c>
      <c r="C371" t="s">
        <v>52</v>
      </c>
      <c r="D371" t="s">
        <v>53</v>
      </c>
      <c r="E371" s="9">
        <v>13</v>
      </c>
      <c r="F371" t="s">
        <v>78</v>
      </c>
      <c r="G371" s="7" t="s">
        <v>50</v>
      </c>
      <c r="H371" t="s">
        <v>65</v>
      </c>
    </row>
    <row r="372" spans="1:8">
      <c r="A372">
        <v>2024</v>
      </c>
      <c r="B372" t="s">
        <v>30</v>
      </c>
      <c r="C372" t="s">
        <v>47</v>
      </c>
      <c r="D372" t="s">
        <v>57</v>
      </c>
      <c r="E372" s="9">
        <v>500</v>
      </c>
      <c r="F372" t="s">
        <v>89</v>
      </c>
      <c r="G372" t="s">
        <v>59</v>
      </c>
      <c r="H372" s="7" t="s">
        <v>83</v>
      </c>
    </row>
    <row r="373" spans="1:8">
      <c r="A373">
        <v>2024</v>
      </c>
      <c r="B373" t="s">
        <v>30</v>
      </c>
      <c r="C373" t="s">
        <v>47</v>
      </c>
      <c r="D373" t="s">
        <v>48</v>
      </c>
      <c r="E373" s="9">
        <v>34</v>
      </c>
      <c r="F373" t="s">
        <v>91</v>
      </c>
      <c r="G373" t="s">
        <v>59</v>
      </c>
      <c r="H373" s="7" t="s">
        <v>84</v>
      </c>
    </row>
    <row r="374" spans="1:8">
      <c r="A374">
        <v>2024</v>
      </c>
      <c r="B374" t="s">
        <v>30</v>
      </c>
      <c r="C374" t="s">
        <v>47</v>
      </c>
      <c r="D374" t="s">
        <v>60</v>
      </c>
      <c r="E374" s="9">
        <v>20</v>
      </c>
      <c r="F374" t="s">
        <v>61</v>
      </c>
      <c r="G374" t="s">
        <v>59</v>
      </c>
      <c r="H374" t="s">
        <v>84</v>
      </c>
    </row>
    <row r="375" spans="1:8">
      <c r="A375">
        <v>2024</v>
      </c>
      <c r="B375" t="s">
        <v>30</v>
      </c>
      <c r="C375" t="s">
        <v>52</v>
      </c>
      <c r="D375" t="s">
        <v>64</v>
      </c>
      <c r="E375" s="9">
        <v>306.07</v>
      </c>
      <c r="F375" t="s">
        <v>95</v>
      </c>
      <c r="G375" t="s">
        <v>59</v>
      </c>
      <c r="H375" t="s">
        <v>65</v>
      </c>
    </row>
    <row r="376" spans="1:8">
      <c r="A376">
        <v>2024</v>
      </c>
      <c r="B376" t="s">
        <v>30</v>
      </c>
      <c r="C376" t="s">
        <v>47</v>
      </c>
      <c r="D376" t="s">
        <v>68</v>
      </c>
      <c r="E376" s="9">
        <v>42.5</v>
      </c>
      <c r="F376" t="s">
        <v>68</v>
      </c>
      <c r="G376" t="s">
        <v>59</v>
      </c>
      <c r="H376" t="s">
        <v>84</v>
      </c>
    </row>
    <row r="377" spans="1:8">
      <c r="A377">
        <v>2024</v>
      </c>
      <c r="B377" t="s">
        <v>30</v>
      </c>
      <c r="C377" t="s">
        <v>47</v>
      </c>
      <c r="D377" t="s">
        <v>62</v>
      </c>
      <c r="E377" s="9">
        <v>146.87</v>
      </c>
      <c r="F377" s="7" t="s">
        <v>62</v>
      </c>
      <c r="G377" t="s">
        <v>59</v>
      </c>
      <c r="H377" t="s">
        <v>84</v>
      </c>
    </row>
    <row r="378" spans="1:8">
      <c r="A378">
        <v>2024</v>
      </c>
      <c r="B378" t="s">
        <v>30</v>
      </c>
      <c r="C378" t="s">
        <v>52</v>
      </c>
      <c r="D378" t="s">
        <v>63</v>
      </c>
      <c r="E378" s="9">
        <v>144.1</v>
      </c>
      <c r="F378" s="7" t="s">
        <v>63</v>
      </c>
      <c r="G378" t="s">
        <v>59</v>
      </c>
      <c r="H378" t="s">
        <v>65</v>
      </c>
    </row>
    <row r="379" spans="1:8">
      <c r="A379">
        <v>2024</v>
      </c>
      <c r="B379" t="s">
        <v>30</v>
      </c>
      <c r="C379" t="s">
        <v>52</v>
      </c>
      <c r="D379" t="s">
        <v>64</v>
      </c>
      <c r="E379" s="9">
        <v>49.99</v>
      </c>
      <c r="F379" t="s">
        <v>65</v>
      </c>
      <c r="G379" s="7" t="s">
        <v>50</v>
      </c>
      <c r="H379" t="s">
        <v>65</v>
      </c>
    </row>
    <row r="380" spans="1:8">
      <c r="A380">
        <v>2024</v>
      </c>
      <c r="B380" t="s">
        <v>30</v>
      </c>
      <c r="C380" t="s">
        <v>47</v>
      </c>
      <c r="D380" t="s">
        <v>67</v>
      </c>
      <c r="E380" s="9">
        <v>50</v>
      </c>
      <c r="F380" t="s">
        <v>67</v>
      </c>
      <c r="G380" t="s">
        <v>59</v>
      </c>
      <c r="H380" t="s">
        <v>86</v>
      </c>
    </row>
    <row r="381" spans="1:8">
      <c r="A381">
        <v>2024</v>
      </c>
      <c r="B381" t="s">
        <v>30</v>
      </c>
      <c r="C381" t="s">
        <v>52</v>
      </c>
      <c r="D381" t="s">
        <v>75</v>
      </c>
      <c r="E381" s="9">
        <v>180</v>
      </c>
      <c r="F381" t="s">
        <v>75</v>
      </c>
      <c r="G381" t="s">
        <v>59</v>
      </c>
      <c r="H381" t="s">
        <v>65</v>
      </c>
    </row>
    <row r="382" spans="1:8">
      <c r="A382">
        <v>2024</v>
      </c>
      <c r="B382" t="s">
        <v>30</v>
      </c>
      <c r="C382" t="s">
        <v>47</v>
      </c>
      <c r="D382" t="s">
        <v>60</v>
      </c>
      <c r="E382" s="9">
        <v>29</v>
      </c>
      <c r="F382" t="s">
        <v>94</v>
      </c>
      <c r="G382" t="s">
        <v>50</v>
      </c>
      <c r="H382" t="s">
        <v>86</v>
      </c>
    </row>
    <row r="383" spans="1:8">
      <c r="A383">
        <v>2024</v>
      </c>
      <c r="B383" t="s">
        <v>30</v>
      </c>
      <c r="C383" t="s">
        <v>71</v>
      </c>
      <c r="D383" t="s">
        <v>71</v>
      </c>
      <c r="E383" s="9">
        <v>6</v>
      </c>
      <c r="G383" t="s">
        <v>50</v>
      </c>
      <c r="H383" t="s">
        <v>65</v>
      </c>
    </row>
    <row r="384" spans="1:8">
      <c r="A384">
        <v>2024</v>
      </c>
      <c r="B384" t="s">
        <v>30</v>
      </c>
      <c r="C384" t="s">
        <v>52</v>
      </c>
      <c r="D384" t="s">
        <v>53</v>
      </c>
      <c r="E384" s="9">
        <v>9</v>
      </c>
      <c r="F384" t="s">
        <v>73</v>
      </c>
      <c r="G384" t="s">
        <v>50</v>
      </c>
      <c r="H384" t="s">
        <v>65</v>
      </c>
    </row>
    <row r="385" spans="1:8">
      <c r="A385">
        <v>2024</v>
      </c>
      <c r="B385" t="s">
        <v>18</v>
      </c>
      <c r="C385" t="s">
        <v>47</v>
      </c>
      <c r="D385" t="s">
        <v>57</v>
      </c>
      <c r="E385" s="9">
        <v>500</v>
      </c>
      <c r="F385" t="s">
        <v>89</v>
      </c>
      <c r="G385" t="s">
        <v>59</v>
      </c>
      <c r="H385" s="7" t="s">
        <v>83</v>
      </c>
    </row>
    <row r="386" spans="1:8">
      <c r="A386">
        <v>2024</v>
      </c>
      <c r="B386" t="s">
        <v>18</v>
      </c>
      <c r="C386" t="s">
        <v>47</v>
      </c>
      <c r="D386" t="s">
        <v>48</v>
      </c>
      <c r="E386" s="9">
        <v>50</v>
      </c>
      <c r="F386" t="s">
        <v>72</v>
      </c>
      <c r="G386" t="s">
        <v>59</v>
      </c>
      <c r="H386" s="7" t="s">
        <v>83</v>
      </c>
    </row>
    <row r="387" spans="1:8">
      <c r="A387">
        <v>2024</v>
      </c>
      <c r="B387" t="s">
        <v>18</v>
      </c>
      <c r="C387" t="s">
        <v>47</v>
      </c>
      <c r="D387" t="s">
        <v>48</v>
      </c>
      <c r="E387" s="9">
        <v>35</v>
      </c>
      <c r="F387" t="s">
        <v>91</v>
      </c>
      <c r="G387" t="s">
        <v>59</v>
      </c>
      <c r="H387" s="7" t="s">
        <v>84</v>
      </c>
    </row>
    <row r="388" spans="1:8">
      <c r="A388">
        <v>2024</v>
      </c>
      <c r="B388" t="s">
        <v>18</v>
      </c>
      <c r="C388" t="s">
        <v>47</v>
      </c>
      <c r="D388" t="s">
        <v>48</v>
      </c>
      <c r="E388" s="9">
        <v>57.5</v>
      </c>
      <c r="F388" t="s">
        <v>91</v>
      </c>
      <c r="G388" t="s">
        <v>59</v>
      </c>
      <c r="H388" s="7" t="s">
        <v>84</v>
      </c>
    </row>
    <row r="389" spans="1:8">
      <c r="A389">
        <v>2024</v>
      </c>
      <c r="B389" t="s">
        <v>18</v>
      </c>
      <c r="C389" t="s">
        <v>47</v>
      </c>
      <c r="D389" t="s">
        <v>60</v>
      </c>
      <c r="E389" s="9">
        <v>25</v>
      </c>
      <c r="F389" t="s">
        <v>61</v>
      </c>
      <c r="G389" t="s">
        <v>59</v>
      </c>
      <c r="H389" t="s">
        <v>84</v>
      </c>
    </row>
    <row r="390" spans="1:8">
      <c r="A390">
        <v>2024</v>
      </c>
      <c r="B390" t="s">
        <v>18</v>
      </c>
      <c r="C390" t="s">
        <v>47</v>
      </c>
      <c r="D390" t="s">
        <v>60</v>
      </c>
      <c r="E390" s="9">
        <v>17.5</v>
      </c>
      <c r="F390" t="s">
        <v>97</v>
      </c>
      <c r="G390" t="s">
        <v>59</v>
      </c>
      <c r="H390" t="s">
        <v>84</v>
      </c>
    </row>
    <row r="391" spans="1:8">
      <c r="A391">
        <v>2024</v>
      </c>
      <c r="B391" t="s">
        <v>18</v>
      </c>
      <c r="C391" t="s">
        <v>47</v>
      </c>
      <c r="D391" t="s">
        <v>48</v>
      </c>
      <c r="E391" s="9">
        <v>16.2</v>
      </c>
      <c r="F391" t="s">
        <v>72</v>
      </c>
      <c r="G391" t="s">
        <v>59</v>
      </c>
      <c r="H391" s="7" t="s">
        <v>83</v>
      </c>
    </row>
    <row r="392" spans="1:8">
      <c r="A392">
        <v>2024</v>
      </c>
      <c r="B392" t="s">
        <v>18</v>
      </c>
      <c r="C392" t="s">
        <v>52</v>
      </c>
      <c r="D392" t="s">
        <v>64</v>
      </c>
      <c r="E392" s="9">
        <v>189.98</v>
      </c>
      <c r="F392" t="s">
        <v>95</v>
      </c>
      <c r="G392" s="7" t="s">
        <v>59</v>
      </c>
      <c r="H392" t="s">
        <v>65</v>
      </c>
    </row>
    <row r="393" spans="1:8">
      <c r="A393">
        <v>2024</v>
      </c>
      <c r="B393" t="s">
        <v>18</v>
      </c>
      <c r="C393" t="s">
        <v>47</v>
      </c>
      <c r="D393" t="s">
        <v>68</v>
      </c>
      <c r="E393" s="9">
        <v>42.5</v>
      </c>
      <c r="F393" t="s">
        <v>68</v>
      </c>
      <c r="G393" t="s">
        <v>59</v>
      </c>
      <c r="H393" t="s">
        <v>84</v>
      </c>
    </row>
    <row r="394" spans="1:8">
      <c r="A394">
        <v>2024</v>
      </c>
      <c r="B394" t="s">
        <v>18</v>
      </c>
      <c r="C394" t="s">
        <v>47</v>
      </c>
      <c r="D394" t="s">
        <v>62</v>
      </c>
      <c r="E394" s="9">
        <v>244.62</v>
      </c>
      <c r="F394" s="7" t="s">
        <v>62</v>
      </c>
      <c r="G394" t="s">
        <v>59</v>
      </c>
      <c r="H394" t="s">
        <v>84</v>
      </c>
    </row>
    <row r="395" spans="1:8">
      <c r="A395">
        <v>2024</v>
      </c>
      <c r="B395" t="s">
        <v>18</v>
      </c>
      <c r="C395" t="s">
        <v>52</v>
      </c>
      <c r="D395" t="s">
        <v>63</v>
      </c>
      <c r="E395" s="9">
        <v>139</v>
      </c>
      <c r="F395" s="7" t="s">
        <v>63</v>
      </c>
      <c r="G395" t="s">
        <v>59</v>
      </c>
      <c r="H395" t="s">
        <v>65</v>
      </c>
    </row>
    <row r="396" spans="1:8">
      <c r="A396">
        <v>2024</v>
      </c>
      <c r="B396" t="s">
        <v>18</v>
      </c>
      <c r="C396" t="s">
        <v>52</v>
      </c>
      <c r="D396" t="s">
        <v>64</v>
      </c>
      <c r="E396" s="9">
        <v>233.15</v>
      </c>
      <c r="F396" t="s">
        <v>65</v>
      </c>
      <c r="G396" t="s">
        <v>50</v>
      </c>
      <c r="H396" t="s">
        <v>65</v>
      </c>
    </row>
    <row r="397" spans="1:8">
      <c r="A397">
        <v>2024</v>
      </c>
      <c r="B397" t="s">
        <v>18</v>
      </c>
      <c r="C397" t="s">
        <v>47</v>
      </c>
      <c r="D397" t="s">
        <v>60</v>
      </c>
      <c r="E397" s="9">
        <v>26.2</v>
      </c>
      <c r="F397" t="s">
        <v>94</v>
      </c>
      <c r="G397" t="s">
        <v>50</v>
      </c>
      <c r="H397" t="s">
        <v>86</v>
      </c>
    </row>
    <row r="398" spans="1:8">
      <c r="A398">
        <v>2024</v>
      </c>
      <c r="B398" t="s">
        <v>18</v>
      </c>
      <c r="C398" t="s">
        <v>52</v>
      </c>
      <c r="D398" t="s">
        <v>53</v>
      </c>
      <c r="E398" s="9">
        <v>293.47000000000003</v>
      </c>
      <c r="F398" t="s">
        <v>78</v>
      </c>
      <c r="G398" s="7" t="s">
        <v>50</v>
      </c>
      <c r="H398" t="s">
        <v>65</v>
      </c>
    </row>
    <row r="399" spans="1:8">
      <c r="A399">
        <v>2025</v>
      </c>
      <c r="B399" t="s">
        <v>34</v>
      </c>
      <c r="C399" t="s">
        <v>47</v>
      </c>
      <c r="D399" t="s">
        <v>57</v>
      </c>
      <c r="E399" s="9">
        <v>500</v>
      </c>
      <c r="F399" t="s">
        <v>89</v>
      </c>
      <c r="G399" t="s">
        <v>59</v>
      </c>
      <c r="H399" s="7" t="s">
        <v>83</v>
      </c>
    </row>
    <row r="400" spans="1:8">
      <c r="A400">
        <v>2025</v>
      </c>
      <c r="B400" t="s">
        <v>34</v>
      </c>
      <c r="C400" t="s">
        <v>47</v>
      </c>
      <c r="D400" t="s">
        <v>48</v>
      </c>
      <c r="E400" s="9">
        <v>50</v>
      </c>
      <c r="F400" t="s">
        <v>72</v>
      </c>
      <c r="G400" t="s">
        <v>59</v>
      </c>
      <c r="H400" s="7" t="s">
        <v>83</v>
      </c>
    </row>
    <row r="401" spans="1:8">
      <c r="A401">
        <v>2025</v>
      </c>
      <c r="B401" t="s">
        <v>34</v>
      </c>
      <c r="C401" t="s">
        <v>52</v>
      </c>
      <c r="D401" t="s">
        <v>64</v>
      </c>
      <c r="E401" s="9">
        <v>41.13</v>
      </c>
      <c r="F401" t="s">
        <v>95</v>
      </c>
      <c r="G401" t="s">
        <v>59</v>
      </c>
      <c r="H401" t="s">
        <v>65</v>
      </c>
    </row>
    <row r="402" spans="1:8">
      <c r="A402">
        <v>2025</v>
      </c>
      <c r="B402" t="s">
        <v>34</v>
      </c>
      <c r="C402" t="s">
        <v>47</v>
      </c>
      <c r="D402" t="s">
        <v>62</v>
      </c>
      <c r="E402" s="9">
        <v>167.63</v>
      </c>
      <c r="F402" s="7" t="s">
        <v>62</v>
      </c>
      <c r="G402" t="s">
        <v>59</v>
      </c>
      <c r="H402" t="s">
        <v>84</v>
      </c>
    </row>
    <row r="403" spans="1:8">
      <c r="A403">
        <v>2025</v>
      </c>
      <c r="B403" t="s">
        <v>34</v>
      </c>
      <c r="C403" t="s">
        <v>52</v>
      </c>
      <c r="D403" t="s">
        <v>63</v>
      </c>
      <c r="E403" s="9">
        <v>238.97</v>
      </c>
      <c r="F403" s="7" t="s">
        <v>63</v>
      </c>
      <c r="G403" t="s">
        <v>59</v>
      </c>
      <c r="H403" t="s">
        <v>65</v>
      </c>
    </row>
    <row r="404" spans="1:8">
      <c r="A404">
        <v>2025</v>
      </c>
      <c r="B404" t="s">
        <v>34</v>
      </c>
      <c r="C404" t="s">
        <v>52</v>
      </c>
      <c r="D404" t="s">
        <v>64</v>
      </c>
      <c r="E404" s="9">
        <v>210.64</v>
      </c>
      <c r="F404" t="s">
        <v>65</v>
      </c>
      <c r="G404" s="7" t="s">
        <v>50</v>
      </c>
      <c r="H404" t="s">
        <v>65</v>
      </c>
    </row>
    <row r="405" spans="1:8">
      <c r="A405">
        <v>2025</v>
      </c>
      <c r="B405" t="s">
        <v>34</v>
      </c>
      <c r="C405" t="s">
        <v>52</v>
      </c>
      <c r="D405" t="s">
        <v>75</v>
      </c>
      <c r="E405" s="9">
        <v>448.35</v>
      </c>
      <c r="F405" t="s">
        <v>75</v>
      </c>
      <c r="G405" t="s">
        <v>59</v>
      </c>
      <c r="H405" t="s">
        <v>65</v>
      </c>
    </row>
    <row r="406" spans="1:8">
      <c r="A406">
        <v>2025</v>
      </c>
      <c r="B406" t="s">
        <v>34</v>
      </c>
      <c r="C406" t="s">
        <v>71</v>
      </c>
      <c r="D406" t="s">
        <v>71</v>
      </c>
      <c r="E406" s="9">
        <v>6</v>
      </c>
      <c r="G406" t="s">
        <v>50</v>
      </c>
      <c r="H406" t="s">
        <v>65</v>
      </c>
    </row>
    <row r="407" spans="1:8">
      <c r="A407">
        <v>2025</v>
      </c>
      <c r="B407" t="s">
        <v>34</v>
      </c>
      <c r="C407" t="s">
        <v>52</v>
      </c>
      <c r="D407" t="s">
        <v>53</v>
      </c>
      <c r="E407" s="9">
        <v>48.61</v>
      </c>
      <c r="F407" t="s">
        <v>78</v>
      </c>
      <c r="G407" s="7" t="s">
        <v>50</v>
      </c>
      <c r="H407" t="s">
        <v>65</v>
      </c>
    </row>
    <row r="408" spans="1:8">
      <c r="A408">
        <v>2025</v>
      </c>
      <c r="B408" t="s">
        <v>35</v>
      </c>
      <c r="C408" t="s">
        <v>47</v>
      </c>
      <c r="D408" t="s">
        <v>57</v>
      </c>
      <c r="E408" s="9">
        <v>500</v>
      </c>
      <c r="F408" t="s">
        <v>89</v>
      </c>
      <c r="G408" t="s">
        <v>59</v>
      </c>
      <c r="H408" s="7" t="s">
        <v>83</v>
      </c>
    </row>
    <row r="409" spans="1:8">
      <c r="A409">
        <v>2025</v>
      </c>
      <c r="B409" t="s">
        <v>35</v>
      </c>
      <c r="C409" t="s">
        <v>47</v>
      </c>
      <c r="D409" t="s">
        <v>48</v>
      </c>
      <c r="E409" s="9">
        <v>50</v>
      </c>
      <c r="F409" t="s">
        <v>72</v>
      </c>
      <c r="G409" t="s">
        <v>59</v>
      </c>
      <c r="H409" s="7" t="s">
        <v>83</v>
      </c>
    </row>
    <row r="410" spans="1:8">
      <c r="A410">
        <v>2025</v>
      </c>
      <c r="B410" t="s">
        <v>35</v>
      </c>
      <c r="C410" t="s">
        <v>47</v>
      </c>
      <c r="D410" t="s">
        <v>48</v>
      </c>
      <c r="E410" s="9">
        <v>63.5</v>
      </c>
      <c r="F410" t="s">
        <v>91</v>
      </c>
      <c r="G410" t="s">
        <v>59</v>
      </c>
      <c r="H410" s="7" t="s">
        <v>84</v>
      </c>
    </row>
    <row r="411" spans="1:8">
      <c r="A411">
        <v>2025</v>
      </c>
      <c r="B411" t="s">
        <v>35</v>
      </c>
      <c r="C411" t="s">
        <v>47</v>
      </c>
      <c r="D411" t="s">
        <v>68</v>
      </c>
      <c r="E411" s="9">
        <v>43</v>
      </c>
      <c r="F411" t="s">
        <v>68</v>
      </c>
      <c r="G411" t="s">
        <v>59</v>
      </c>
      <c r="H411" t="s">
        <v>84</v>
      </c>
    </row>
    <row r="412" spans="1:8">
      <c r="A412">
        <v>2025</v>
      </c>
      <c r="B412" t="s">
        <v>35</v>
      </c>
      <c r="C412" t="s">
        <v>47</v>
      </c>
      <c r="D412" t="s">
        <v>62</v>
      </c>
      <c r="E412" s="9">
        <v>88.87</v>
      </c>
      <c r="F412" s="7" t="s">
        <v>62</v>
      </c>
      <c r="G412" t="s">
        <v>59</v>
      </c>
      <c r="H412" t="s">
        <v>84</v>
      </c>
    </row>
    <row r="413" spans="1:8">
      <c r="A413">
        <v>2025</v>
      </c>
      <c r="B413" t="s">
        <v>35</v>
      </c>
      <c r="C413" t="s">
        <v>52</v>
      </c>
      <c r="D413" t="s">
        <v>64</v>
      </c>
      <c r="E413" s="9">
        <v>60.9</v>
      </c>
      <c r="F413" t="s">
        <v>95</v>
      </c>
      <c r="G413" s="7" t="s">
        <v>59</v>
      </c>
      <c r="H413" t="s">
        <v>65</v>
      </c>
    </row>
    <row r="414" spans="1:8">
      <c r="A414">
        <v>2025</v>
      </c>
      <c r="B414" t="s">
        <v>35</v>
      </c>
      <c r="C414" t="s">
        <v>52</v>
      </c>
      <c r="D414" t="s">
        <v>63</v>
      </c>
      <c r="E414" s="9">
        <v>54.5</v>
      </c>
      <c r="F414" s="7" t="s">
        <v>63</v>
      </c>
      <c r="G414" t="s">
        <v>59</v>
      </c>
      <c r="H414" t="s">
        <v>65</v>
      </c>
    </row>
    <row r="415" spans="1:8">
      <c r="A415">
        <v>2025</v>
      </c>
      <c r="B415" t="s">
        <v>35</v>
      </c>
      <c r="C415" t="s">
        <v>52</v>
      </c>
      <c r="D415" t="s">
        <v>64</v>
      </c>
      <c r="E415" s="9">
        <v>324.92</v>
      </c>
      <c r="F415" t="s">
        <v>65</v>
      </c>
      <c r="G415" s="7" t="s">
        <v>50</v>
      </c>
      <c r="H415" t="s">
        <v>65</v>
      </c>
    </row>
    <row r="416" spans="1:8">
      <c r="A416">
        <v>2025</v>
      </c>
      <c r="B416" t="s">
        <v>35</v>
      </c>
      <c r="C416" t="s">
        <v>52</v>
      </c>
      <c r="D416" t="s">
        <v>75</v>
      </c>
      <c r="E416" s="9">
        <v>283</v>
      </c>
      <c r="F416" t="s">
        <v>75</v>
      </c>
      <c r="G416" s="7" t="s">
        <v>59</v>
      </c>
      <c r="H416" t="s">
        <v>65</v>
      </c>
    </row>
    <row r="417" spans="1:8">
      <c r="A417">
        <v>2025</v>
      </c>
      <c r="B417" t="s">
        <v>35</v>
      </c>
      <c r="C417" t="s">
        <v>52</v>
      </c>
      <c r="D417" t="s">
        <v>53</v>
      </c>
      <c r="E417" s="9">
        <v>43.99</v>
      </c>
      <c r="F417" t="s">
        <v>78</v>
      </c>
      <c r="G417" s="7" t="s">
        <v>50</v>
      </c>
      <c r="H417" t="s">
        <v>65</v>
      </c>
    </row>
    <row r="418" spans="1:8">
      <c r="A418">
        <v>2025</v>
      </c>
      <c r="B418" t="s">
        <v>25</v>
      </c>
      <c r="C418" t="s">
        <v>47</v>
      </c>
      <c r="D418" t="s">
        <v>57</v>
      </c>
      <c r="E418" s="9">
        <v>500</v>
      </c>
      <c r="F418" t="s">
        <v>89</v>
      </c>
      <c r="G418" t="s">
        <v>59</v>
      </c>
      <c r="H418" s="7" t="s">
        <v>83</v>
      </c>
    </row>
    <row r="419" spans="1:8">
      <c r="A419">
        <v>2025</v>
      </c>
      <c r="B419" t="s">
        <v>25</v>
      </c>
      <c r="C419" t="s">
        <v>47</v>
      </c>
      <c r="D419" t="s">
        <v>48</v>
      </c>
      <c r="E419" s="9">
        <v>50</v>
      </c>
      <c r="F419" t="s">
        <v>72</v>
      </c>
      <c r="G419" t="s">
        <v>59</v>
      </c>
      <c r="H419" s="7" t="s">
        <v>83</v>
      </c>
    </row>
    <row r="420" spans="1:8">
      <c r="A420">
        <v>2025</v>
      </c>
      <c r="B420" t="s">
        <v>25</v>
      </c>
      <c r="C420" t="s">
        <v>47</v>
      </c>
      <c r="D420" t="s">
        <v>48</v>
      </c>
      <c r="E420" s="9">
        <v>11.5</v>
      </c>
      <c r="F420" t="s">
        <v>91</v>
      </c>
      <c r="G420" t="s">
        <v>59</v>
      </c>
      <c r="H420" s="7" t="s">
        <v>84</v>
      </c>
    </row>
    <row r="421" spans="1:8">
      <c r="A421">
        <v>2025</v>
      </c>
      <c r="B421" t="s">
        <v>25</v>
      </c>
      <c r="C421" t="s">
        <v>47</v>
      </c>
      <c r="D421" t="s">
        <v>48</v>
      </c>
      <c r="E421" s="9">
        <v>80</v>
      </c>
      <c r="F421" t="s">
        <v>98</v>
      </c>
      <c r="G421" t="s">
        <v>59</v>
      </c>
      <c r="H421" s="7" t="s">
        <v>84</v>
      </c>
    </row>
    <row r="422" spans="1:8">
      <c r="A422">
        <v>2025</v>
      </c>
      <c r="B422" t="s">
        <v>25</v>
      </c>
      <c r="C422" t="s">
        <v>47</v>
      </c>
      <c r="D422" t="s">
        <v>60</v>
      </c>
      <c r="E422" s="9">
        <v>83</v>
      </c>
      <c r="F422" t="s">
        <v>79</v>
      </c>
      <c r="G422" t="s">
        <v>59</v>
      </c>
      <c r="H422" t="s">
        <v>84</v>
      </c>
    </row>
    <row r="423" spans="1:8">
      <c r="A423">
        <v>2025</v>
      </c>
      <c r="B423" t="s">
        <v>25</v>
      </c>
      <c r="C423" t="s">
        <v>47</v>
      </c>
      <c r="D423" t="s">
        <v>62</v>
      </c>
      <c r="E423" s="9">
        <v>189.94</v>
      </c>
      <c r="F423" s="7" t="s">
        <v>62</v>
      </c>
      <c r="G423" t="s">
        <v>59</v>
      </c>
      <c r="H423" t="s">
        <v>84</v>
      </c>
    </row>
    <row r="424" spans="1:8">
      <c r="A424">
        <v>2025</v>
      </c>
      <c r="B424" t="s">
        <v>25</v>
      </c>
      <c r="C424" t="s">
        <v>52</v>
      </c>
      <c r="D424" t="s">
        <v>63</v>
      </c>
      <c r="E424" s="9">
        <v>135</v>
      </c>
      <c r="F424" s="7" t="s">
        <v>63</v>
      </c>
      <c r="G424" t="s">
        <v>59</v>
      </c>
      <c r="H424" t="s">
        <v>65</v>
      </c>
    </row>
    <row r="425" spans="1:8">
      <c r="A425">
        <v>2025</v>
      </c>
      <c r="B425" t="s">
        <v>25</v>
      </c>
      <c r="C425" t="s">
        <v>52</v>
      </c>
      <c r="D425" t="s">
        <v>64</v>
      </c>
      <c r="E425" s="9">
        <v>329.98</v>
      </c>
      <c r="F425" t="s">
        <v>65</v>
      </c>
      <c r="G425" t="s">
        <v>50</v>
      </c>
      <c r="H425" t="s">
        <v>65</v>
      </c>
    </row>
    <row r="426" spans="1:8">
      <c r="A426">
        <v>2025</v>
      </c>
      <c r="B426" t="s">
        <v>25</v>
      </c>
      <c r="C426" t="s">
        <v>52</v>
      </c>
      <c r="D426" t="s">
        <v>64</v>
      </c>
      <c r="E426" s="9">
        <v>24</v>
      </c>
      <c r="F426" t="s">
        <v>65</v>
      </c>
      <c r="G426" t="s">
        <v>50</v>
      </c>
      <c r="H426" t="s">
        <v>65</v>
      </c>
    </row>
    <row r="427" spans="1:8">
      <c r="A427">
        <v>2025</v>
      </c>
      <c r="B427" t="s">
        <v>25</v>
      </c>
      <c r="C427" t="s">
        <v>47</v>
      </c>
      <c r="D427" t="s">
        <v>99</v>
      </c>
      <c r="E427" s="9">
        <v>80</v>
      </c>
      <c r="F427" t="s">
        <v>99</v>
      </c>
      <c r="G427" t="s">
        <v>50</v>
      </c>
      <c r="H427" t="s">
        <v>86</v>
      </c>
    </row>
    <row r="428" spans="1:8">
      <c r="A428">
        <v>2025</v>
      </c>
      <c r="B428" t="s">
        <v>25</v>
      </c>
      <c r="C428" t="s">
        <v>71</v>
      </c>
      <c r="D428" t="s">
        <v>71</v>
      </c>
      <c r="E428" s="9">
        <v>10</v>
      </c>
      <c r="G428" t="s">
        <v>50</v>
      </c>
      <c r="H428" t="s">
        <v>65</v>
      </c>
    </row>
    <row r="429" spans="1:8">
      <c r="A429">
        <v>2025</v>
      </c>
      <c r="B429" t="s">
        <v>25</v>
      </c>
      <c r="C429" t="s">
        <v>52</v>
      </c>
      <c r="D429" t="s">
        <v>53</v>
      </c>
      <c r="E429" s="9">
        <v>43.61</v>
      </c>
      <c r="F429" t="s">
        <v>78</v>
      </c>
      <c r="G429" s="7" t="s">
        <v>50</v>
      </c>
      <c r="H429" t="s">
        <v>65</v>
      </c>
    </row>
    <row r="430" spans="1:8">
      <c r="A430">
        <v>2025</v>
      </c>
      <c r="B430" t="s">
        <v>26</v>
      </c>
      <c r="C430" t="s">
        <v>47</v>
      </c>
      <c r="D430" t="s">
        <v>57</v>
      </c>
      <c r="E430" s="9">
        <v>500</v>
      </c>
      <c r="F430" t="s">
        <v>89</v>
      </c>
      <c r="G430" t="s">
        <v>59</v>
      </c>
      <c r="H430" s="7" t="s">
        <v>83</v>
      </c>
    </row>
    <row r="431" spans="1:8">
      <c r="A431">
        <v>2025</v>
      </c>
      <c r="B431" t="s">
        <v>26</v>
      </c>
      <c r="C431" t="s">
        <v>47</v>
      </c>
      <c r="D431" t="s">
        <v>48</v>
      </c>
      <c r="E431" s="9">
        <v>50</v>
      </c>
      <c r="F431" t="s">
        <v>72</v>
      </c>
      <c r="G431" t="s">
        <v>59</v>
      </c>
      <c r="H431" s="7" t="s">
        <v>83</v>
      </c>
    </row>
    <row r="432" spans="1:8">
      <c r="A432">
        <v>2025</v>
      </c>
      <c r="B432" t="s">
        <v>26</v>
      </c>
      <c r="C432" t="s">
        <v>47</v>
      </c>
      <c r="D432" t="s">
        <v>48</v>
      </c>
      <c r="E432" s="9">
        <v>33</v>
      </c>
      <c r="F432" t="s">
        <v>91</v>
      </c>
      <c r="G432" t="s">
        <v>59</v>
      </c>
      <c r="H432" s="7" t="s">
        <v>84</v>
      </c>
    </row>
    <row r="433" spans="1:8">
      <c r="A433">
        <v>2025</v>
      </c>
      <c r="B433" t="s">
        <v>26</v>
      </c>
      <c r="C433" t="s">
        <v>47</v>
      </c>
      <c r="D433" t="s">
        <v>48</v>
      </c>
      <c r="E433" s="9">
        <v>50</v>
      </c>
      <c r="F433" t="s">
        <v>72</v>
      </c>
      <c r="G433" t="s">
        <v>59</v>
      </c>
      <c r="H433" s="7" t="s">
        <v>83</v>
      </c>
    </row>
    <row r="434" spans="1:8">
      <c r="A434">
        <v>2025</v>
      </c>
      <c r="B434" t="s">
        <v>26</v>
      </c>
      <c r="C434" t="s">
        <v>47</v>
      </c>
      <c r="D434" t="s">
        <v>60</v>
      </c>
      <c r="E434" s="9">
        <v>430</v>
      </c>
      <c r="F434" t="s">
        <v>69</v>
      </c>
      <c r="G434" t="s">
        <v>59</v>
      </c>
      <c r="H434" t="s">
        <v>86</v>
      </c>
    </row>
    <row r="435" spans="1:8">
      <c r="A435">
        <v>2025</v>
      </c>
      <c r="B435" t="s">
        <v>26</v>
      </c>
      <c r="C435" t="s">
        <v>47</v>
      </c>
      <c r="D435" t="s">
        <v>60</v>
      </c>
      <c r="E435" s="9">
        <v>27</v>
      </c>
      <c r="F435" t="s">
        <v>96</v>
      </c>
      <c r="G435" t="s">
        <v>59</v>
      </c>
      <c r="H435" t="s">
        <v>84</v>
      </c>
    </row>
    <row r="436" spans="1:8">
      <c r="A436">
        <v>2025</v>
      </c>
      <c r="B436" t="s">
        <v>26</v>
      </c>
      <c r="C436" t="s">
        <v>47</v>
      </c>
      <c r="D436" t="s">
        <v>68</v>
      </c>
      <c r="E436" s="9">
        <v>50</v>
      </c>
      <c r="F436" t="s">
        <v>68</v>
      </c>
      <c r="G436" t="s">
        <v>59</v>
      </c>
      <c r="H436" t="s">
        <v>84</v>
      </c>
    </row>
    <row r="437" spans="1:8">
      <c r="A437">
        <v>2025</v>
      </c>
      <c r="B437" t="s">
        <v>26</v>
      </c>
      <c r="C437" t="s">
        <v>47</v>
      </c>
      <c r="D437" t="s">
        <v>62</v>
      </c>
      <c r="E437" s="9">
        <v>173.18</v>
      </c>
      <c r="F437" s="7" t="s">
        <v>62</v>
      </c>
      <c r="G437" t="s">
        <v>59</v>
      </c>
      <c r="H437" t="s">
        <v>84</v>
      </c>
    </row>
    <row r="438" spans="1:8">
      <c r="A438">
        <v>2025</v>
      </c>
      <c r="B438" t="s">
        <v>26</v>
      </c>
      <c r="C438" t="s">
        <v>52</v>
      </c>
      <c r="D438" t="s">
        <v>63</v>
      </c>
      <c r="E438" s="9">
        <v>100.8</v>
      </c>
      <c r="F438" s="7" t="s">
        <v>63</v>
      </c>
      <c r="G438" t="s">
        <v>59</v>
      </c>
      <c r="H438" t="s">
        <v>65</v>
      </c>
    </row>
    <row r="439" spans="1:8">
      <c r="A439">
        <v>2025</v>
      </c>
      <c r="B439" t="s">
        <v>26</v>
      </c>
      <c r="C439" t="s">
        <v>52</v>
      </c>
      <c r="D439" t="s">
        <v>75</v>
      </c>
      <c r="E439" s="9">
        <v>55.94</v>
      </c>
      <c r="F439" t="s">
        <v>75</v>
      </c>
      <c r="G439" s="7" t="s">
        <v>59</v>
      </c>
      <c r="H439" t="s">
        <v>65</v>
      </c>
    </row>
    <row r="440" spans="1:8">
      <c r="A440">
        <v>2025</v>
      </c>
      <c r="B440" t="s">
        <v>26</v>
      </c>
      <c r="C440" t="s">
        <v>52</v>
      </c>
      <c r="D440" t="s">
        <v>64</v>
      </c>
      <c r="E440" s="9">
        <v>64.97</v>
      </c>
      <c r="F440" t="s">
        <v>65</v>
      </c>
      <c r="G440" s="7" t="s">
        <v>50</v>
      </c>
      <c r="H440" t="s">
        <v>65</v>
      </c>
    </row>
    <row r="441" spans="1:8">
      <c r="A441">
        <v>2025</v>
      </c>
      <c r="B441" t="s">
        <v>26</v>
      </c>
      <c r="C441" t="s">
        <v>52</v>
      </c>
      <c r="D441" t="s">
        <v>75</v>
      </c>
      <c r="E441" s="9">
        <v>702.89</v>
      </c>
      <c r="F441" t="s">
        <v>75</v>
      </c>
      <c r="G441" s="7" t="s">
        <v>59</v>
      </c>
      <c r="H441" t="s">
        <v>65</v>
      </c>
    </row>
    <row r="442" spans="1:8">
      <c r="A442">
        <v>2025</v>
      </c>
      <c r="B442" t="s">
        <v>26</v>
      </c>
      <c r="C442" t="s">
        <v>47</v>
      </c>
      <c r="D442" t="s">
        <v>99</v>
      </c>
      <c r="E442" s="9">
        <v>51.94</v>
      </c>
      <c r="F442" t="s">
        <v>99</v>
      </c>
      <c r="G442" t="s">
        <v>50</v>
      </c>
      <c r="H442" t="s">
        <v>86</v>
      </c>
    </row>
    <row r="443" spans="1:8">
      <c r="A443">
        <v>2025</v>
      </c>
      <c r="B443" t="s">
        <v>26</v>
      </c>
      <c r="C443" t="s">
        <v>52</v>
      </c>
      <c r="D443" t="s">
        <v>64</v>
      </c>
      <c r="E443" s="9">
        <v>13.73</v>
      </c>
      <c r="F443" t="s">
        <v>29</v>
      </c>
      <c r="G443" s="7" t="s">
        <v>50</v>
      </c>
      <c r="H443" t="s">
        <v>65</v>
      </c>
    </row>
    <row r="444" spans="1:8">
      <c r="A444">
        <v>2025</v>
      </c>
      <c r="B444" t="s">
        <v>26</v>
      </c>
      <c r="C444" t="s">
        <v>71</v>
      </c>
      <c r="D444" t="s">
        <v>71</v>
      </c>
      <c r="E444" s="9">
        <v>23</v>
      </c>
      <c r="G444" t="s">
        <v>50</v>
      </c>
      <c r="H444" t="s">
        <v>65</v>
      </c>
    </row>
    <row r="445" spans="1:8">
      <c r="A445">
        <v>2025</v>
      </c>
      <c r="B445" t="s">
        <v>26</v>
      </c>
      <c r="C445" t="s">
        <v>52</v>
      </c>
      <c r="D445" t="s">
        <v>53</v>
      </c>
      <c r="E445" s="9">
        <v>44</v>
      </c>
      <c r="F445" t="s">
        <v>78</v>
      </c>
      <c r="G445" s="7" t="s">
        <v>50</v>
      </c>
      <c r="H445" t="s">
        <v>65</v>
      </c>
    </row>
    <row r="446" spans="1:8">
      <c r="A446">
        <v>2025</v>
      </c>
      <c r="B446" t="s">
        <v>5</v>
      </c>
      <c r="C446" t="s">
        <v>47</v>
      </c>
      <c r="D446" t="s">
        <v>57</v>
      </c>
      <c r="E446" s="9">
        <v>500</v>
      </c>
      <c r="F446" t="s">
        <v>89</v>
      </c>
      <c r="G446" t="s">
        <v>59</v>
      </c>
      <c r="H446" s="7" t="s">
        <v>83</v>
      </c>
    </row>
    <row r="447" spans="1:8">
      <c r="A447">
        <v>2025</v>
      </c>
      <c r="B447" t="s">
        <v>5</v>
      </c>
      <c r="C447" t="s">
        <v>47</v>
      </c>
      <c r="D447" t="s">
        <v>48</v>
      </c>
      <c r="E447" s="9">
        <v>50</v>
      </c>
      <c r="F447" t="s">
        <v>72</v>
      </c>
      <c r="G447" t="s">
        <v>59</v>
      </c>
      <c r="H447" s="7" t="s">
        <v>83</v>
      </c>
    </row>
    <row r="448" spans="1:8">
      <c r="A448">
        <v>2025</v>
      </c>
      <c r="B448" t="s">
        <v>5</v>
      </c>
      <c r="C448" t="s">
        <v>47</v>
      </c>
      <c r="D448" t="s">
        <v>48</v>
      </c>
      <c r="E448" s="9">
        <v>33</v>
      </c>
      <c r="F448" t="s">
        <v>91</v>
      </c>
      <c r="G448" t="s">
        <v>59</v>
      </c>
      <c r="H448" s="7" t="s">
        <v>84</v>
      </c>
    </row>
    <row r="449" spans="1:8">
      <c r="A449">
        <v>2025</v>
      </c>
      <c r="B449" t="s">
        <v>5</v>
      </c>
      <c r="C449" t="s">
        <v>52</v>
      </c>
      <c r="D449" t="s">
        <v>64</v>
      </c>
      <c r="E449" s="9">
        <v>15</v>
      </c>
      <c r="F449" t="s">
        <v>95</v>
      </c>
      <c r="G449" t="s">
        <v>59</v>
      </c>
      <c r="H449" t="s">
        <v>65</v>
      </c>
    </row>
    <row r="450" spans="1:8">
      <c r="A450">
        <v>2025</v>
      </c>
      <c r="B450" t="s">
        <v>5</v>
      </c>
      <c r="C450" t="s">
        <v>47</v>
      </c>
      <c r="D450" t="s">
        <v>62</v>
      </c>
      <c r="E450" s="9">
        <v>97.75</v>
      </c>
      <c r="F450" s="7" t="s">
        <v>62</v>
      </c>
      <c r="G450" t="s">
        <v>59</v>
      </c>
      <c r="H450" t="s">
        <v>84</v>
      </c>
    </row>
    <row r="451" spans="1:8">
      <c r="A451">
        <v>2025</v>
      </c>
      <c r="B451" t="s">
        <v>5</v>
      </c>
      <c r="C451" t="s">
        <v>52</v>
      </c>
      <c r="D451" t="s">
        <v>64</v>
      </c>
      <c r="E451" s="9">
        <v>66.989999999999995</v>
      </c>
      <c r="F451" t="s">
        <v>65</v>
      </c>
      <c r="G451" s="7" t="s">
        <v>50</v>
      </c>
      <c r="H451" t="s">
        <v>65</v>
      </c>
    </row>
    <row r="452" spans="1:8">
      <c r="A452">
        <v>2025</v>
      </c>
      <c r="B452" t="s">
        <v>5</v>
      </c>
      <c r="C452" t="s">
        <v>52</v>
      </c>
      <c r="D452" t="s">
        <v>53</v>
      </c>
      <c r="E452" s="9">
        <v>85</v>
      </c>
      <c r="F452" t="s">
        <v>78</v>
      </c>
      <c r="G452" s="7" t="s">
        <v>50</v>
      </c>
      <c r="H452" t="s">
        <v>65</v>
      </c>
    </row>
    <row r="453" spans="1:8">
      <c r="A453">
        <v>2025</v>
      </c>
      <c r="B453" t="s">
        <v>12</v>
      </c>
      <c r="C453" t="s">
        <v>47</v>
      </c>
      <c r="D453" t="s">
        <v>57</v>
      </c>
      <c r="E453" s="9">
        <v>500</v>
      </c>
      <c r="F453" t="s">
        <v>89</v>
      </c>
      <c r="G453" t="s">
        <v>59</v>
      </c>
      <c r="H453" s="7" t="s">
        <v>83</v>
      </c>
    </row>
    <row r="454" spans="1:8">
      <c r="A454">
        <v>2025</v>
      </c>
      <c r="B454" t="s">
        <v>12</v>
      </c>
      <c r="C454" t="s">
        <v>47</v>
      </c>
      <c r="D454" t="s">
        <v>48</v>
      </c>
      <c r="E454" s="9">
        <v>50</v>
      </c>
      <c r="F454" t="s">
        <v>72</v>
      </c>
      <c r="G454" t="s">
        <v>59</v>
      </c>
      <c r="H454" s="7" t="s">
        <v>83</v>
      </c>
    </row>
    <row r="455" spans="1:8">
      <c r="A455">
        <v>2025</v>
      </c>
      <c r="B455" t="s">
        <v>12</v>
      </c>
      <c r="C455" t="s">
        <v>47</v>
      </c>
      <c r="D455" t="s">
        <v>48</v>
      </c>
      <c r="E455" s="9">
        <v>39</v>
      </c>
      <c r="F455" t="s">
        <v>91</v>
      </c>
      <c r="G455" t="s">
        <v>59</v>
      </c>
      <c r="H455" s="7" t="s">
        <v>84</v>
      </c>
    </row>
    <row r="456" spans="1:8">
      <c r="A456">
        <v>2025</v>
      </c>
      <c r="B456" t="s">
        <v>12</v>
      </c>
      <c r="C456" t="s">
        <v>52</v>
      </c>
      <c r="D456" t="s">
        <v>55</v>
      </c>
      <c r="E456" s="9">
        <v>15</v>
      </c>
      <c r="F456" t="s">
        <v>100</v>
      </c>
      <c r="G456" s="7" t="s">
        <v>59</v>
      </c>
      <c r="H456" t="s">
        <v>65</v>
      </c>
    </row>
    <row r="457" spans="1:8">
      <c r="A457">
        <v>2025</v>
      </c>
      <c r="B457" t="s">
        <v>12</v>
      </c>
      <c r="C457" t="s">
        <v>52</v>
      </c>
      <c r="D457" t="s">
        <v>64</v>
      </c>
      <c r="E457" s="9">
        <v>442.93</v>
      </c>
      <c r="F457" t="s">
        <v>95</v>
      </c>
      <c r="G457" t="s">
        <v>59</v>
      </c>
      <c r="H457" t="s">
        <v>65</v>
      </c>
    </row>
    <row r="458" spans="1:8">
      <c r="A458">
        <v>2025</v>
      </c>
      <c r="B458" t="s">
        <v>12</v>
      </c>
      <c r="C458" t="s">
        <v>47</v>
      </c>
      <c r="D458" t="s">
        <v>68</v>
      </c>
      <c r="E458" s="9">
        <v>48</v>
      </c>
      <c r="F458" t="s">
        <v>68</v>
      </c>
      <c r="G458" t="s">
        <v>59</v>
      </c>
      <c r="H458" t="s">
        <v>84</v>
      </c>
    </row>
    <row r="459" spans="1:8">
      <c r="A459">
        <v>2025</v>
      </c>
      <c r="B459" t="s">
        <v>12</v>
      </c>
      <c r="C459" t="s">
        <v>47</v>
      </c>
      <c r="D459" t="s">
        <v>62</v>
      </c>
      <c r="E459" s="9">
        <v>149.01</v>
      </c>
      <c r="F459" s="7" t="s">
        <v>62</v>
      </c>
      <c r="G459" t="s">
        <v>59</v>
      </c>
      <c r="H459" t="s">
        <v>84</v>
      </c>
    </row>
    <row r="460" spans="1:8">
      <c r="A460">
        <v>2025</v>
      </c>
      <c r="B460" t="s">
        <v>12</v>
      </c>
      <c r="C460" t="s">
        <v>52</v>
      </c>
      <c r="D460" t="s">
        <v>63</v>
      </c>
      <c r="E460" s="9">
        <v>50</v>
      </c>
      <c r="F460" s="7" t="s">
        <v>63</v>
      </c>
      <c r="G460" t="s">
        <v>59</v>
      </c>
      <c r="H460" t="s">
        <v>65</v>
      </c>
    </row>
    <row r="461" spans="1:8">
      <c r="A461">
        <v>2025</v>
      </c>
      <c r="B461" t="s">
        <v>12</v>
      </c>
      <c r="C461" t="s">
        <v>52</v>
      </c>
      <c r="D461" t="s">
        <v>64</v>
      </c>
      <c r="E461" s="9">
        <v>64.17</v>
      </c>
      <c r="F461" t="s">
        <v>65</v>
      </c>
      <c r="G461" t="s">
        <v>50</v>
      </c>
      <c r="H461" t="s">
        <v>65</v>
      </c>
    </row>
    <row r="462" spans="1:8">
      <c r="A462">
        <v>2025</v>
      </c>
      <c r="B462" t="s">
        <v>12</v>
      </c>
      <c r="C462" t="s">
        <v>52</v>
      </c>
      <c r="D462" t="s">
        <v>75</v>
      </c>
      <c r="E462" s="9">
        <v>353.85</v>
      </c>
      <c r="F462" t="s">
        <v>75</v>
      </c>
      <c r="G462" s="7" t="s">
        <v>59</v>
      </c>
      <c r="H462" t="s">
        <v>65</v>
      </c>
    </row>
    <row r="463" spans="1:8">
      <c r="A463">
        <v>2025</v>
      </c>
      <c r="B463" t="s">
        <v>12</v>
      </c>
      <c r="C463" t="s">
        <v>52</v>
      </c>
      <c r="D463" t="s">
        <v>53</v>
      </c>
      <c r="E463" s="9">
        <v>123.91</v>
      </c>
      <c r="F463" t="s">
        <v>78</v>
      </c>
      <c r="G463" s="7" t="s">
        <v>50</v>
      </c>
      <c r="H463" t="s">
        <v>65</v>
      </c>
    </row>
    <row r="464" spans="1:8">
      <c r="A464">
        <v>2025</v>
      </c>
      <c r="B464" t="s">
        <v>14</v>
      </c>
      <c r="C464" t="s">
        <v>47</v>
      </c>
      <c r="D464" t="s">
        <v>57</v>
      </c>
      <c r="E464" s="9">
        <v>500</v>
      </c>
      <c r="F464" t="s">
        <v>89</v>
      </c>
      <c r="G464" t="s">
        <v>59</v>
      </c>
      <c r="H464" s="7" t="s">
        <v>83</v>
      </c>
    </row>
    <row r="465" spans="1:8">
      <c r="A465">
        <v>2025</v>
      </c>
      <c r="B465" t="s">
        <v>14</v>
      </c>
      <c r="C465" t="s">
        <v>47</v>
      </c>
      <c r="D465" t="s">
        <v>48</v>
      </c>
      <c r="E465" s="9">
        <v>30</v>
      </c>
      <c r="F465" t="s">
        <v>91</v>
      </c>
      <c r="G465" t="s">
        <v>59</v>
      </c>
      <c r="H465" s="7" t="s">
        <v>84</v>
      </c>
    </row>
    <row r="466" spans="1:8">
      <c r="A466">
        <v>2025</v>
      </c>
      <c r="B466" t="s">
        <v>14</v>
      </c>
      <c r="C466" t="s">
        <v>52</v>
      </c>
      <c r="D466" t="s">
        <v>64</v>
      </c>
      <c r="E466" s="9">
        <v>136.30000000000001</v>
      </c>
      <c r="F466" t="s">
        <v>95</v>
      </c>
      <c r="G466" t="s">
        <v>59</v>
      </c>
      <c r="H466" t="s">
        <v>65</v>
      </c>
    </row>
    <row r="467" spans="1:8">
      <c r="A467">
        <v>2025</v>
      </c>
      <c r="B467" t="s">
        <v>14</v>
      </c>
      <c r="C467" t="s">
        <v>47</v>
      </c>
      <c r="D467" t="s">
        <v>62</v>
      </c>
      <c r="E467" s="9">
        <v>344.8</v>
      </c>
      <c r="F467" s="7" t="s">
        <v>62</v>
      </c>
      <c r="G467" t="s">
        <v>59</v>
      </c>
      <c r="H467" t="s">
        <v>84</v>
      </c>
    </row>
    <row r="468" spans="1:8">
      <c r="A468">
        <v>2025</v>
      </c>
      <c r="B468" t="s">
        <v>14</v>
      </c>
      <c r="C468" t="s">
        <v>52</v>
      </c>
      <c r="D468" t="s">
        <v>63</v>
      </c>
      <c r="E468" s="9">
        <v>50</v>
      </c>
      <c r="F468" s="7" t="s">
        <v>63</v>
      </c>
      <c r="G468" t="s">
        <v>59</v>
      </c>
      <c r="H468" t="s">
        <v>65</v>
      </c>
    </row>
    <row r="469" spans="1:8">
      <c r="A469">
        <v>2025</v>
      </c>
      <c r="B469" t="s">
        <v>14</v>
      </c>
      <c r="C469" t="s">
        <v>52</v>
      </c>
      <c r="D469" t="s">
        <v>64</v>
      </c>
      <c r="E469" s="9">
        <v>102.47</v>
      </c>
      <c r="F469" t="s">
        <v>65</v>
      </c>
      <c r="G469" s="7" t="s">
        <v>50</v>
      </c>
      <c r="H469" t="s">
        <v>65</v>
      </c>
    </row>
    <row r="470" spans="1:8">
      <c r="A470">
        <v>2025</v>
      </c>
      <c r="B470" t="s">
        <v>14</v>
      </c>
      <c r="C470" t="s">
        <v>71</v>
      </c>
      <c r="D470" t="s">
        <v>71</v>
      </c>
      <c r="E470" s="9">
        <v>16</v>
      </c>
      <c r="G470" t="s">
        <v>50</v>
      </c>
      <c r="H470" t="s">
        <v>65</v>
      </c>
    </row>
    <row r="471" spans="1:8">
      <c r="A471">
        <v>2025</v>
      </c>
      <c r="B471" t="s">
        <v>14</v>
      </c>
      <c r="C471" t="s">
        <v>52</v>
      </c>
      <c r="D471" t="s">
        <v>53</v>
      </c>
      <c r="E471" s="9">
        <v>77.180000000000007</v>
      </c>
      <c r="F471" t="s">
        <v>73</v>
      </c>
      <c r="G471" t="s">
        <v>50</v>
      </c>
      <c r="H471" t="s">
        <v>65</v>
      </c>
    </row>
    <row r="472" spans="1:8">
      <c r="A472">
        <v>2025</v>
      </c>
      <c r="B472" t="s">
        <v>15</v>
      </c>
      <c r="C472" t="s">
        <v>47</v>
      </c>
      <c r="D472" t="s">
        <v>57</v>
      </c>
      <c r="E472" s="9">
        <v>500</v>
      </c>
      <c r="F472" t="s">
        <v>89</v>
      </c>
      <c r="G472" t="s">
        <v>59</v>
      </c>
      <c r="H472" s="7" t="s">
        <v>83</v>
      </c>
    </row>
    <row r="473" spans="1:8">
      <c r="A473">
        <v>2025</v>
      </c>
      <c r="B473" t="s">
        <v>15</v>
      </c>
      <c r="C473" t="s">
        <v>47</v>
      </c>
      <c r="D473" t="s">
        <v>48</v>
      </c>
      <c r="E473" s="9">
        <v>50</v>
      </c>
      <c r="F473" t="s">
        <v>72</v>
      </c>
      <c r="G473" t="s">
        <v>59</v>
      </c>
      <c r="H473" s="7" t="s">
        <v>83</v>
      </c>
    </row>
    <row r="474" spans="1:8">
      <c r="A474">
        <v>2025</v>
      </c>
      <c r="B474" t="s">
        <v>15</v>
      </c>
      <c r="C474" t="s">
        <v>47</v>
      </c>
      <c r="D474" t="s">
        <v>48</v>
      </c>
      <c r="E474" s="9">
        <v>35</v>
      </c>
      <c r="F474" t="s">
        <v>91</v>
      </c>
      <c r="G474" t="s">
        <v>59</v>
      </c>
      <c r="H474" s="7" t="s">
        <v>84</v>
      </c>
    </row>
    <row r="475" spans="1:8">
      <c r="A475">
        <v>2025</v>
      </c>
      <c r="B475" t="s">
        <v>15</v>
      </c>
      <c r="C475" t="s">
        <v>52</v>
      </c>
      <c r="D475" t="s">
        <v>64</v>
      </c>
      <c r="E475" s="9">
        <v>103.46</v>
      </c>
      <c r="F475" t="s">
        <v>95</v>
      </c>
      <c r="G475" t="s">
        <v>59</v>
      </c>
      <c r="H475" t="s">
        <v>65</v>
      </c>
    </row>
    <row r="476" spans="1:8">
      <c r="A476">
        <v>2025</v>
      </c>
      <c r="B476" t="s">
        <v>15</v>
      </c>
      <c r="C476" t="s">
        <v>47</v>
      </c>
      <c r="D476" t="s">
        <v>62</v>
      </c>
      <c r="E476" s="9">
        <v>353.1</v>
      </c>
      <c r="F476" s="7" t="s">
        <v>62</v>
      </c>
      <c r="G476" t="s">
        <v>59</v>
      </c>
      <c r="H476" t="s">
        <v>84</v>
      </c>
    </row>
    <row r="477" spans="1:8">
      <c r="A477">
        <v>2025</v>
      </c>
      <c r="B477" t="s">
        <v>15</v>
      </c>
      <c r="C477" t="s">
        <v>52</v>
      </c>
      <c r="D477" t="s">
        <v>63</v>
      </c>
      <c r="E477" s="9">
        <v>82.4</v>
      </c>
      <c r="F477" s="7" t="s">
        <v>63</v>
      </c>
      <c r="G477" t="s">
        <v>59</v>
      </c>
      <c r="H477" t="s">
        <v>65</v>
      </c>
    </row>
    <row r="478" spans="1:8">
      <c r="A478">
        <v>2025</v>
      </c>
      <c r="B478" t="s">
        <v>15</v>
      </c>
      <c r="C478" t="s">
        <v>52</v>
      </c>
      <c r="D478" t="s">
        <v>64</v>
      </c>
      <c r="E478" s="9">
        <v>101.73</v>
      </c>
      <c r="F478" t="s">
        <v>65</v>
      </c>
      <c r="G478" s="7" t="s">
        <v>50</v>
      </c>
      <c r="H478" t="s">
        <v>65</v>
      </c>
    </row>
    <row r="479" spans="1:8">
      <c r="A479">
        <v>2025</v>
      </c>
      <c r="B479" t="s">
        <v>15</v>
      </c>
      <c r="C479" t="s">
        <v>71</v>
      </c>
      <c r="D479" t="s">
        <v>71</v>
      </c>
      <c r="E479" s="9">
        <v>18</v>
      </c>
      <c r="G479" t="s">
        <v>50</v>
      </c>
      <c r="H479" t="s">
        <v>65</v>
      </c>
    </row>
    <row r="480" spans="1:8">
      <c r="A480">
        <v>2025</v>
      </c>
      <c r="B480" t="s">
        <v>15</v>
      </c>
      <c r="C480" t="s">
        <v>52</v>
      </c>
      <c r="D480" t="s">
        <v>64</v>
      </c>
      <c r="E480" s="9">
        <v>15.23</v>
      </c>
      <c r="F480" t="s">
        <v>65</v>
      </c>
      <c r="G480" t="s">
        <v>50</v>
      </c>
      <c r="H480" t="s">
        <v>65</v>
      </c>
    </row>
    <row r="481" spans="1:8">
      <c r="A481">
        <v>2025</v>
      </c>
      <c r="B481" t="s">
        <v>15</v>
      </c>
      <c r="C481" t="s">
        <v>52</v>
      </c>
      <c r="D481" t="s">
        <v>53</v>
      </c>
      <c r="E481" s="9">
        <v>82.55</v>
      </c>
      <c r="F481" t="s">
        <v>78</v>
      </c>
      <c r="G481" s="7" t="s">
        <v>50</v>
      </c>
      <c r="H481" t="s">
        <v>65</v>
      </c>
    </row>
    <row r="482" spans="1:8">
      <c r="A482">
        <v>2025</v>
      </c>
      <c r="B482" t="s">
        <v>16</v>
      </c>
      <c r="C482" t="s">
        <v>47</v>
      </c>
      <c r="D482" t="s">
        <v>57</v>
      </c>
      <c r="E482" s="9">
        <v>500</v>
      </c>
      <c r="F482" t="s">
        <v>89</v>
      </c>
      <c r="G482" t="s">
        <v>59</v>
      </c>
      <c r="H482" s="7" t="s">
        <v>83</v>
      </c>
    </row>
    <row r="483" spans="1:8">
      <c r="A483">
        <v>2025</v>
      </c>
      <c r="B483" t="s">
        <v>16</v>
      </c>
      <c r="C483" t="s">
        <v>47</v>
      </c>
      <c r="D483" t="s">
        <v>48</v>
      </c>
      <c r="E483" s="9">
        <v>50</v>
      </c>
      <c r="F483" t="s">
        <v>72</v>
      </c>
      <c r="G483" t="s">
        <v>59</v>
      </c>
      <c r="H483" s="7" t="s">
        <v>83</v>
      </c>
    </row>
    <row r="484" spans="1:8">
      <c r="A484">
        <v>2025</v>
      </c>
      <c r="B484" t="s">
        <v>16</v>
      </c>
      <c r="C484" t="s">
        <v>47</v>
      </c>
      <c r="D484" t="s">
        <v>48</v>
      </c>
      <c r="E484" s="9">
        <v>35</v>
      </c>
      <c r="F484" t="s">
        <v>91</v>
      </c>
      <c r="G484" t="s">
        <v>59</v>
      </c>
      <c r="H484" s="7" t="s">
        <v>84</v>
      </c>
    </row>
    <row r="485" spans="1:8">
      <c r="A485">
        <v>2025</v>
      </c>
      <c r="B485" t="s">
        <v>16</v>
      </c>
      <c r="C485" t="s">
        <v>52</v>
      </c>
      <c r="D485" t="s">
        <v>55</v>
      </c>
      <c r="E485" s="9">
        <v>25</v>
      </c>
      <c r="F485" t="s">
        <v>100</v>
      </c>
      <c r="G485" s="7" t="s">
        <v>59</v>
      </c>
      <c r="H485" t="s">
        <v>65</v>
      </c>
    </row>
    <row r="486" spans="1:8">
      <c r="A486">
        <v>2025</v>
      </c>
      <c r="B486" t="s">
        <v>16</v>
      </c>
      <c r="C486" t="s">
        <v>52</v>
      </c>
      <c r="D486" t="s">
        <v>64</v>
      </c>
      <c r="E486" s="9">
        <v>15</v>
      </c>
      <c r="F486" t="s">
        <v>95</v>
      </c>
      <c r="G486" t="s">
        <v>59</v>
      </c>
      <c r="H486" t="s">
        <v>65</v>
      </c>
    </row>
    <row r="487" spans="1:8">
      <c r="A487">
        <v>2025</v>
      </c>
      <c r="B487" t="s">
        <v>16</v>
      </c>
      <c r="C487" t="s">
        <v>47</v>
      </c>
      <c r="D487" t="s">
        <v>62</v>
      </c>
      <c r="E487" s="9">
        <v>81.849999999999994</v>
      </c>
      <c r="F487" s="7" t="s">
        <v>62</v>
      </c>
      <c r="G487" t="s">
        <v>59</v>
      </c>
      <c r="H487" t="s">
        <v>84</v>
      </c>
    </row>
    <row r="488" spans="1:8">
      <c r="A488">
        <v>2025</v>
      </c>
      <c r="B488" t="s">
        <v>16</v>
      </c>
      <c r="C488" t="s">
        <v>52</v>
      </c>
      <c r="D488" t="s">
        <v>63</v>
      </c>
      <c r="E488" s="9">
        <v>153</v>
      </c>
      <c r="F488" s="7" t="s">
        <v>63</v>
      </c>
      <c r="G488" t="s">
        <v>59</v>
      </c>
      <c r="H488" t="s">
        <v>65</v>
      </c>
    </row>
    <row r="489" spans="1:8">
      <c r="A489">
        <v>2025</v>
      </c>
      <c r="B489" t="s">
        <v>16</v>
      </c>
      <c r="C489" t="s">
        <v>52</v>
      </c>
      <c r="D489" t="s">
        <v>64</v>
      </c>
      <c r="E489" s="9">
        <v>126.95</v>
      </c>
      <c r="F489" t="s">
        <v>65</v>
      </c>
      <c r="G489" s="7" t="s">
        <v>50</v>
      </c>
      <c r="H489" t="s">
        <v>65</v>
      </c>
    </row>
    <row r="490" spans="1:8">
      <c r="A490">
        <v>2025</v>
      </c>
      <c r="B490" t="s">
        <v>16</v>
      </c>
      <c r="C490" t="s">
        <v>52</v>
      </c>
      <c r="D490" s="7" t="s">
        <v>55</v>
      </c>
      <c r="E490" s="9">
        <v>35</v>
      </c>
      <c r="F490" t="s">
        <v>56</v>
      </c>
      <c r="G490" s="7" t="s">
        <v>50</v>
      </c>
      <c r="H490" t="s">
        <v>65</v>
      </c>
    </row>
    <row r="491" spans="1:8">
      <c r="A491">
        <v>2025</v>
      </c>
      <c r="B491" t="s">
        <v>16</v>
      </c>
      <c r="C491" t="s">
        <v>52</v>
      </c>
      <c r="D491" t="s">
        <v>75</v>
      </c>
      <c r="E491" s="9">
        <v>217.7</v>
      </c>
      <c r="F491" t="s">
        <v>75</v>
      </c>
      <c r="G491" s="7" t="s">
        <v>59</v>
      </c>
      <c r="H491" t="s">
        <v>65</v>
      </c>
    </row>
    <row r="492" spans="1:8">
      <c r="A492">
        <v>2025</v>
      </c>
      <c r="B492" t="s">
        <v>16</v>
      </c>
      <c r="C492" t="s">
        <v>52</v>
      </c>
      <c r="D492" t="s">
        <v>53</v>
      </c>
      <c r="E492" s="9">
        <v>77.209999999999994</v>
      </c>
      <c r="F492" t="s">
        <v>78</v>
      </c>
      <c r="G492" s="7" t="s">
        <v>50</v>
      </c>
      <c r="H492" t="s">
        <v>65</v>
      </c>
    </row>
    <row r="493" spans="1:8">
      <c r="A493">
        <v>2025</v>
      </c>
      <c r="B493" t="s">
        <v>17</v>
      </c>
      <c r="C493" t="s">
        <v>47</v>
      </c>
      <c r="D493" t="s">
        <v>57</v>
      </c>
      <c r="E493" s="9">
        <v>500</v>
      </c>
      <c r="F493" t="s">
        <v>89</v>
      </c>
      <c r="G493" t="s">
        <v>59</v>
      </c>
      <c r="H493" s="7" t="s">
        <v>83</v>
      </c>
    </row>
    <row r="494" spans="1:8">
      <c r="A494">
        <v>2025</v>
      </c>
      <c r="B494" t="s">
        <v>17</v>
      </c>
      <c r="C494" t="s">
        <v>47</v>
      </c>
      <c r="D494" t="s">
        <v>48</v>
      </c>
      <c r="E494" s="9">
        <v>50</v>
      </c>
      <c r="F494" t="s">
        <v>72</v>
      </c>
      <c r="G494" t="s">
        <v>59</v>
      </c>
      <c r="H494" s="7" t="s">
        <v>83</v>
      </c>
    </row>
    <row r="495" spans="1:8">
      <c r="A495">
        <v>2025</v>
      </c>
      <c r="B495" t="s">
        <v>15</v>
      </c>
      <c r="C495" t="s">
        <v>52</v>
      </c>
      <c r="D495" s="7" t="s">
        <v>55</v>
      </c>
      <c r="E495" s="9">
        <v>53</v>
      </c>
      <c r="F495" t="s">
        <v>56</v>
      </c>
      <c r="G495" t="s">
        <v>59</v>
      </c>
      <c r="H495" t="s">
        <v>65</v>
      </c>
    </row>
    <row r="496" spans="1:8">
      <c r="A496">
        <v>2025</v>
      </c>
      <c r="B496" t="s">
        <v>17</v>
      </c>
      <c r="C496" t="s">
        <v>47</v>
      </c>
      <c r="D496" t="s">
        <v>48</v>
      </c>
      <c r="E496" s="9">
        <v>35</v>
      </c>
      <c r="F496" t="s">
        <v>91</v>
      </c>
      <c r="G496" t="s">
        <v>59</v>
      </c>
      <c r="H496" s="7" t="s">
        <v>84</v>
      </c>
    </row>
    <row r="497" spans="1:8">
      <c r="A497">
        <v>2025</v>
      </c>
      <c r="B497" t="s">
        <v>17</v>
      </c>
      <c r="C497" t="s">
        <v>47</v>
      </c>
      <c r="D497" t="s">
        <v>60</v>
      </c>
      <c r="E497" s="9">
        <v>23</v>
      </c>
      <c r="F497" t="s">
        <v>96</v>
      </c>
      <c r="G497" t="s">
        <v>59</v>
      </c>
      <c r="H497" t="s">
        <v>84</v>
      </c>
    </row>
    <row r="498" spans="1:8">
      <c r="A498">
        <v>2025</v>
      </c>
      <c r="B498" t="s">
        <v>17</v>
      </c>
      <c r="C498" t="s">
        <v>52</v>
      </c>
      <c r="D498" t="s">
        <v>64</v>
      </c>
      <c r="E498" s="9">
        <v>7.49</v>
      </c>
      <c r="F498" t="s">
        <v>95</v>
      </c>
      <c r="G498" s="7" t="s">
        <v>59</v>
      </c>
      <c r="H498" t="s">
        <v>65</v>
      </c>
    </row>
    <row r="499" spans="1:8">
      <c r="A499">
        <v>2025</v>
      </c>
      <c r="B499" t="s">
        <v>17</v>
      </c>
      <c r="C499" t="s">
        <v>47</v>
      </c>
      <c r="D499" t="s">
        <v>62</v>
      </c>
      <c r="E499" s="9">
        <v>191.39</v>
      </c>
      <c r="F499" s="7" t="s">
        <v>62</v>
      </c>
      <c r="G499" t="s">
        <v>59</v>
      </c>
      <c r="H499" t="s">
        <v>84</v>
      </c>
    </row>
    <row r="500" spans="1:8">
      <c r="A500">
        <v>2025</v>
      </c>
      <c r="B500" t="s">
        <v>17</v>
      </c>
      <c r="C500" t="s">
        <v>47</v>
      </c>
      <c r="D500" t="s">
        <v>68</v>
      </c>
      <c r="E500" s="9">
        <v>40</v>
      </c>
      <c r="F500" t="s">
        <v>68</v>
      </c>
      <c r="G500" t="s">
        <v>59</v>
      </c>
      <c r="H500" t="s">
        <v>84</v>
      </c>
    </row>
    <row r="501" spans="1:8">
      <c r="A501">
        <v>2025</v>
      </c>
      <c r="B501" t="s">
        <v>17</v>
      </c>
      <c r="C501" t="s">
        <v>52</v>
      </c>
      <c r="D501" t="s">
        <v>64</v>
      </c>
      <c r="E501" s="9">
        <v>396.94</v>
      </c>
      <c r="F501" t="s">
        <v>65</v>
      </c>
      <c r="G501" s="7" t="s">
        <v>50</v>
      </c>
      <c r="H501" t="s">
        <v>65</v>
      </c>
    </row>
    <row r="502" spans="1:8">
      <c r="A502">
        <v>2025</v>
      </c>
      <c r="B502" t="s">
        <v>17</v>
      </c>
      <c r="C502" t="s">
        <v>52</v>
      </c>
      <c r="D502" s="7" t="s">
        <v>55</v>
      </c>
      <c r="E502" s="9">
        <v>34.99</v>
      </c>
      <c r="F502" t="s">
        <v>56</v>
      </c>
      <c r="G502" s="7" t="s">
        <v>50</v>
      </c>
      <c r="H502" t="s">
        <v>65</v>
      </c>
    </row>
    <row r="503" spans="1:8">
      <c r="A503">
        <v>2025</v>
      </c>
      <c r="B503" t="s">
        <v>17</v>
      </c>
      <c r="C503" t="s">
        <v>52</v>
      </c>
      <c r="D503" t="s">
        <v>53</v>
      </c>
      <c r="E503" s="9">
        <v>21.17</v>
      </c>
      <c r="F503" t="s">
        <v>78</v>
      </c>
      <c r="G503" s="7" t="s">
        <v>50</v>
      </c>
      <c r="H503" t="s">
        <v>65</v>
      </c>
    </row>
    <row r="504" spans="1:8">
      <c r="A504">
        <v>2025</v>
      </c>
      <c r="B504" t="s">
        <v>17</v>
      </c>
      <c r="C504" t="s">
        <v>52</v>
      </c>
      <c r="D504" t="s">
        <v>53</v>
      </c>
      <c r="E504" s="9">
        <v>42</v>
      </c>
      <c r="F504" t="s">
        <v>101</v>
      </c>
      <c r="G504" t="s">
        <v>50</v>
      </c>
      <c r="H504" t="s">
        <v>65</v>
      </c>
    </row>
    <row r="505" spans="1:8">
      <c r="A505">
        <v>2025</v>
      </c>
      <c r="B505" t="s">
        <v>17</v>
      </c>
      <c r="C505" t="s">
        <v>52</v>
      </c>
      <c r="D505" t="s">
        <v>64</v>
      </c>
      <c r="E505" s="9">
        <v>13.2</v>
      </c>
      <c r="F505" t="s">
        <v>65</v>
      </c>
      <c r="G505" t="s">
        <v>50</v>
      </c>
      <c r="H505" t="s">
        <v>65</v>
      </c>
    </row>
    <row r="506" spans="1:8">
      <c r="A506">
        <v>2025</v>
      </c>
      <c r="B506" t="s">
        <v>30</v>
      </c>
      <c r="C506" t="s">
        <v>47</v>
      </c>
      <c r="D506" t="s">
        <v>57</v>
      </c>
      <c r="E506" s="9">
        <v>500</v>
      </c>
      <c r="F506" t="s">
        <v>89</v>
      </c>
      <c r="G506" t="s">
        <v>59</v>
      </c>
      <c r="H506" s="7" t="s">
        <v>83</v>
      </c>
    </row>
    <row r="507" spans="1:8">
      <c r="A507">
        <v>2025</v>
      </c>
      <c r="B507" t="s">
        <v>30</v>
      </c>
      <c r="C507" t="s">
        <v>47</v>
      </c>
      <c r="D507" t="s">
        <v>48</v>
      </c>
      <c r="E507" s="9">
        <v>50</v>
      </c>
      <c r="F507" t="s">
        <v>72</v>
      </c>
      <c r="G507" t="s">
        <v>59</v>
      </c>
      <c r="H507" s="7" t="s">
        <v>83</v>
      </c>
    </row>
    <row r="508" spans="1:8">
      <c r="A508">
        <v>2025</v>
      </c>
      <c r="B508" t="s">
        <v>30</v>
      </c>
      <c r="C508" t="s">
        <v>47</v>
      </c>
      <c r="D508" t="s">
        <v>48</v>
      </c>
      <c r="E508" s="9">
        <v>40</v>
      </c>
      <c r="F508" t="s">
        <v>91</v>
      </c>
      <c r="G508" t="s">
        <v>59</v>
      </c>
      <c r="H508" s="7" t="s">
        <v>84</v>
      </c>
    </row>
    <row r="509" spans="1:8">
      <c r="A509">
        <v>2025</v>
      </c>
      <c r="B509" t="s">
        <v>30</v>
      </c>
      <c r="C509" t="s">
        <v>47</v>
      </c>
      <c r="D509" t="s">
        <v>48</v>
      </c>
      <c r="E509" s="9">
        <v>50</v>
      </c>
      <c r="F509" t="s">
        <v>72</v>
      </c>
      <c r="G509" t="s">
        <v>59</v>
      </c>
      <c r="H509" s="7" t="s">
        <v>83</v>
      </c>
    </row>
    <row r="510" spans="1:8">
      <c r="A510">
        <v>2025</v>
      </c>
      <c r="B510" t="s">
        <v>30</v>
      </c>
      <c r="C510" t="s">
        <v>47</v>
      </c>
      <c r="D510" t="s">
        <v>60</v>
      </c>
      <c r="E510" s="9">
        <v>278</v>
      </c>
      <c r="F510" t="s">
        <v>102</v>
      </c>
      <c r="G510" t="s">
        <v>59</v>
      </c>
      <c r="H510" t="s">
        <v>84</v>
      </c>
    </row>
    <row r="511" spans="1:8">
      <c r="A511">
        <v>2025</v>
      </c>
      <c r="B511" t="s">
        <v>30</v>
      </c>
      <c r="C511" t="s">
        <v>52</v>
      </c>
      <c r="D511" t="s">
        <v>64</v>
      </c>
      <c r="E511" s="9">
        <v>32.200000000000003</v>
      </c>
      <c r="F511" t="s">
        <v>95</v>
      </c>
      <c r="G511" s="7" t="s">
        <v>59</v>
      </c>
      <c r="H511" t="s">
        <v>65</v>
      </c>
    </row>
    <row r="512" spans="1:8">
      <c r="A512">
        <v>2025</v>
      </c>
      <c r="B512" t="s">
        <v>30</v>
      </c>
      <c r="C512" t="s">
        <v>47</v>
      </c>
      <c r="D512" t="s">
        <v>62</v>
      </c>
      <c r="E512" s="9">
        <v>111</v>
      </c>
      <c r="F512" s="7" t="s">
        <v>62</v>
      </c>
      <c r="G512" t="s">
        <v>59</v>
      </c>
      <c r="H512" t="s">
        <v>65</v>
      </c>
    </row>
    <row r="513" spans="1:9">
      <c r="A513">
        <v>2025</v>
      </c>
      <c r="B513" t="s">
        <v>30</v>
      </c>
      <c r="C513" t="s">
        <v>52</v>
      </c>
      <c r="D513" t="s">
        <v>63</v>
      </c>
      <c r="E513" s="9">
        <v>85.99</v>
      </c>
      <c r="F513" s="7" t="s">
        <v>63</v>
      </c>
      <c r="G513" t="s">
        <v>59</v>
      </c>
      <c r="H513" t="s">
        <v>65</v>
      </c>
    </row>
    <row r="514" spans="1:9">
      <c r="A514">
        <v>2025</v>
      </c>
      <c r="B514" t="s">
        <v>30</v>
      </c>
      <c r="C514" t="s">
        <v>52</v>
      </c>
      <c r="D514" t="s">
        <v>64</v>
      </c>
      <c r="E514" s="9">
        <v>158.19</v>
      </c>
      <c r="F514" t="s">
        <v>65</v>
      </c>
      <c r="G514" s="7" t="s">
        <v>50</v>
      </c>
      <c r="H514" t="s">
        <v>65</v>
      </c>
    </row>
    <row r="515" spans="1:9">
      <c r="A515">
        <v>2025</v>
      </c>
      <c r="B515" t="s">
        <v>30</v>
      </c>
      <c r="C515" t="s">
        <v>52</v>
      </c>
      <c r="D515" s="7" t="s">
        <v>55</v>
      </c>
      <c r="E515" s="9">
        <v>35</v>
      </c>
      <c r="F515" t="s">
        <v>56</v>
      </c>
      <c r="G515" s="7" t="s">
        <v>50</v>
      </c>
      <c r="H515" t="s">
        <v>65</v>
      </c>
    </row>
    <row r="516" spans="1:9">
      <c r="A516">
        <v>2025</v>
      </c>
      <c r="B516" t="s">
        <v>30</v>
      </c>
      <c r="C516" t="s">
        <v>52</v>
      </c>
      <c r="D516" t="s">
        <v>53</v>
      </c>
      <c r="E516" s="9">
        <v>42</v>
      </c>
      <c r="F516" t="s">
        <v>101</v>
      </c>
      <c r="G516" t="s">
        <v>50</v>
      </c>
      <c r="H516" t="s">
        <v>65</v>
      </c>
    </row>
    <row r="517" spans="1:9">
      <c r="A517">
        <v>2025</v>
      </c>
      <c r="B517" t="s">
        <v>30</v>
      </c>
      <c r="C517" t="s">
        <v>47</v>
      </c>
      <c r="D517" t="s">
        <v>60</v>
      </c>
      <c r="E517" s="9">
        <v>65</v>
      </c>
      <c r="F517" t="s">
        <v>103</v>
      </c>
      <c r="G517" t="s">
        <v>50</v>
      </c>
      <c r="H517" t="s">
        <v>86</v>
      </c>
    </row>
    <row r="518" spans="1:9">
      <c r="A518">
        <v>2025</v>
      </c>
      <c r="B518" t="s">
        <v>30</v>
      </c>
      <c r="C518" t="s">
        <v>52</v>
      </c>
      <c r="D518" t="s">
        <v>64</v>
      </c>
      <c r="E518" s="9">
        <v>114.07</v>
      </c>
      <c r="F518" t="s">
        <v>29</v>
      </c>
      <c r="G518" s="7" t="s">
        <v>50</v>
      </c>
      <c r="H518" t="s">
        <v>65</v>
      </c>
    </row>
    <row r="519" spans="1:9">
      <c r="A519">
        <v>2025</v>
      </c>
      <c r="B519" t="s">
        <v>18</v>
      </c>
      <c r="C519" t="s">
        <v>47</v>
      </c>
      <c r="D519" t="s">
        <v>57</v>
      </c>
      <c r="E519" s="9">
        <v>500</v>
      </c>
      <c r="F519" s="12" t="s">
        <v>89</v>
      </c>
      <c r="G519" t="s">
        <v>59</v>
      </c>
      <c r="H519" s="7" t="s">
        <v>83</v>
      </c>
      <c r="I519" s="10"/>
    </row>
    <row r="520" spans="1:9">
      <c r="A520">
        <v>2025</v>
      </c>
      <c r="B520" t="s">
        <v>18</v>
      </c>
      <c r="C520" t="s">
        <v>47</v>
      </c>
      <c r="D520" t="s">
        <v>48</v>
      </c>
      <c r="E520" s="9">
        <v>40</v>
      </c>
      <c r="F520" t="s">
        <v>91</v>
      </c>
      <c r="G520" t="s">
        <v>59</v>
      </c>
      <c r="H520" s="7" t="s">
        <v>84</v>
      </c>
    </row>
    <row r="521" spans="1:9">
      <c r="A521">
        <v>2025</v>
      </c>
      <c r="B521" t="s">
        <v>18</v>
      </c>
      <c r="C521" t="s">
        <v>47</v>
      </c>
      <c r="D521" t="s">
        <v>60</v>
      </c>
      <c r="E521" s="9">
        <v>35</v>
      </c>
      <c r="F521" t="s">
        <v>96</v>
      </c>
      <c r="G521" t="s">
        <v>59</v>
      </c>
      <c r="H521" t="s">
        <v>84</v>
      </c>
    </row>
    <row r="522" spans="1:9">
      <c r="A522">
        <v>2025</v>
      </c>
      <c r="B522" t="s">
        <v>18</v>
      </c>
      <c r="C522" t="s">
        <v>47</v>
      </c>
      <c r="D522" t="s">
        <v>60</v>
      </c>
      <c r="E522" s="9">
        <v>34.5</v>
      </c>
      <c r="F522" t="s">
        <v>96</v>
      </c>
      <c r="G522" t="s">
        <v>59</v>
      </c>
      <c r="H522" t="s">
        <v>84</v>
      </c>
    </row>
    <row r="523" spans="1:9">
      <c r="A523">
        <v>2025</v>
      </c>
      <c r="B523" t="s">
        <v>18</v>
      </c>
      <c r="C523" t="s">
        <v>47</v>
      </c>
      <c r="D523" t="s">
        <v>60</v>
      </c>
      <c r="E523" s="9">
        <v>15</v>
      </c>
      <c r="F523" t="s">
        <v>96</v>
      </c>
      <c r="G523" t="s">
        <v>59</v>
      </c>
      <c r="H523" t="s">
        <v>84</v>
      </c>
    </row>
    <row r="524" spans="1:9">
      <c r="A524">
        <v>2025</v>
      </c>
      <c r="B524" t="s">
        <v>18</v>
      </c>
      <c r="C524" t="s">
        <v>47</v>
      </c>
      <c r="D524" t="s">
        <v>60</v>
      </c>
      <c r="E524" s="9">
        <v>90</v>
      </c>
      <c r="F524" t="s">
        <v>104</v>
      </c>
      <c r="G524" s="7" t="s">
        <v>59</v>
      </c>
      <c r="H524" t="s">
        <v>84</v>
      </c>
    </row>
    <row r="525" spans="1:9">
      <c r="A525">
        <v>2025</v>
      </c>
      <c r="B525" t="s">
        <v>18</v>
      </c>
      <c r="C525" t="s">
        <v>52</v>
      </c>
      <c r="D525" t="s">
        <v>55</v>
      </c>
      <c r="E525" s="9">
        <v>37.5</v>
      </c>
      <c r="F525" t="s">
        <v>100</v>
      </c>
      <c r="G525" s="7" t="s">
        <v>59</v>
      </c>
      <c r="H525" t="s">
        <v>65</v>
      </c>
    </row>
    <row r="526" spans="1:9">
      <c r="A526">
        <v>2025</v>
      </c>
      <c r="B526" t="s">
        <v>18</v>
      </c>
      <c r="C526" t="s">
        <v>52</v>
      </c>
      <c r="D526" t="s">
        <v>64</v>
      </c>
      <c r="E526" s="9">
        <v>25</v>
      </c>
      <c r="F526" t="s">
        <v>95</v>
      </c>
      <c r="G526" s="7" t="s">
        <v>59</v>
      </c>
      <c r="H526" t="s">
        <v>65</v>
      </c>
    </row>
    <row r="527" spans="1:9">
      <c r="A527">
        <v>2025</v>
      </c>
      <c r="B527" t="s">
        <v>18</v>
      </c>
      <c r="C527" t="s">
        <v>52</v>
      </c>
      <c r="D527" t="s">
        <v>64</v>
      </c>
      <c r="E527" s="9">
        <v>36.119999999999997</v>
      </c>
      <c r="F527" t="s">
        <v>95</v>
      </c>
      <c r="G527" s="7" t="s">
        <v>59</v>
      </c>
      <c r="H527" t="s">
        <v>65</v>
      </c>
    </row>
    <row r="528" spans="1:9">
      <c r="A528">
        <v>2025</v>
      </c>
      <c r="B528" t="s">
        <v>18</v>
      </c>
      <c r="C528" t="s">
        <v>47</v>
      </c>
      <c r="D528" t="s">
        <v>62</v>
      </c>
      <c r="E528" s="9">
        <v>239.68</v>
      </c>
      <c r="F528" s="7" t="s">
        <v>62</v>
      </c>
      <c r="G528" t="s">
        <v>59</v>
      </c>
      <c r="H528" t="s">
        <v>84</v>
      </c>
    </row>
    <row r="529" spans="1:8">
      <c r="A529">
        <v>2025</v>
      </c>
      <c r="B529" t="s">
        <v>18</v>
      </c>
      <c r="C529" t="s">
        <v>52</v>
      </c>
      <c r="D529" t="s">
        <v>63</v>
      </c>
      <c r="E529" s="9">
        <v>217.49</v>
      </c>
      <c r="F529" s="7" t="s">
        <v>63</v>
      </c>
      <c r="G529" t="s">
        <v>59</v>
      </c>
      <c r="H529" t="s">
        <v>65</v>
      </c>
    </row>
    <row r="530" spans="1:8">
      <c r="A530">
        <v>2025</v>
      </c>
      <c r="B530" t="s">
        <v>18</v>
      </c>
      <c r="C530" t="s">
        <v>52</v>
      </c>
      <c r="D530" t="s">
        <v>64</v>
      </c>
      <c r="E530" s="9">
        <v>197.01</v>
      </c>
      <c r="F530" t="s">
        <v>65</v>
      </c>
      <c r="G530" s="7" t="s">
        <v>50</v>
      </c>
      <c r="H530" t="s">
        <v>65</v>
      </c>
    </row>
    <row r="531" spans="1:8">
      <c r="A531">
        <v>2025</v>
      </c>
      <c r="B531" t="s">
        <v>18</v>
      </c>
      <c r="C531" t="s">
        <v>52</v>
      </c>
      <c r="D531" t="s">
        <v>64</v>
      </c>
      <c r="E531" s="9">
        <v>56.5</v>
      </c>
      <c r="F531" t="s">
        <v>29</v>
      </c>
      <c r="G531" s="7" t="s">
        <v>50</v>
      </c>
      <c r="H531" t="s">
        <v>65</v>
      </c>
    </row>
    <row r="532" spans="1:8">
      <c r="A532">
        <v>2025</v>
      </c>
      <c r="B532" t="s">
        <v>18</v>
      </c>
      <c r="C532" t="s">
        <v>47</v>
      </c>
      <c r="D532" t="s">
        <v>60</v>
      </c>
      <c r="E532" s="9">
        <v>22.8</v>
      </c>
      <c r="F532" t="s">
        <v>105</v>
      </c>
      <c r="G532" t="s">
        <v>50</v>
      </c>
      <c r="H532" t="s">
        <v>86</v>
      </c>
    </row>
    <row r="533" spans="1:8">
      <c r="A533">
        <v>2025</v>
      </c>
      <c r="B533" t="s">
        <v>18</v>
      </c>
      <c r="C533" t="s">
        <v>52</v>
      </c>
      <c r="D533" t="s">
        <v>53</v>
      </c>
      <c r="E533" s="9">
        <v>42</v>
      </c>
      <c r="F533" t="s">
        <v>101</v>
      </c>
      <c r="G533" t="s">
        <v>50</v>
      </c>
      <c r="H533" t="s">
        <v>65</v>
      </c>
    </row>
    <row r="534" spans="1:8">
      <c r="A534">
        <v>2025</v>
      </c>
      <c r="B534" t="s">
        <v>18</v>
      </c>
      <c r="C534" t="s">
        <v>71</v>
      </c>
      <c r="D534" t="s">
        <v>71</v>
      </c>
      <c r="E534" s="9">
        <v>17</v>
      </c>
      <c r="G534" t="s">
        <v>50</v>
      </c>
      <c r="H534" t="s">
        <v>65</v>
      </c>
    </row>
    <row r="535" spans="1:8">
      <c r="A535">
        <v>2025</v>
      </c>
      <c r="B535" t="s">
        <v>18</v>
      </c>
      <c r="C535" t="s">
        <v>47</v>
      </c>
      <c r="D535" t="s">
        <v>48</v>
      </c>
      <c r="E535" s="9">
        <v>6</v>
      </c>
      <c r="F535" t="s">
        <v>93</v>
      </c>
      <c r="G535" t="s">
        <v>50</v>
      </c>
      <c r="H535" s="7" t="s">
        <v>84</v>
      </c>
    </row>
    <row r="536" spans="1:8">
      <c r="A536">
        <v>2026</v>
      </c>
      <c r="B536" t="s">
        <v>34</v>
      </c>
      <c r="C536" t="s">
        <v>47</v>
      </c>
      <c r="D536" t="s">
        <v>57</v>
      </c>
      <c r="E536" s="9">
        <v>500</v>
      </c>
      <c r="F536" t="s">
        <v>89</v>
      </c>
      <c r="G536" t="s">
        <v>59</v>
      </c>
      <c r="H536" s="7" t="s">
        <v>83</v>
      </c>
    </row>
    <row r="537" spans="1:8">
      <c r="A537">
        <v>2026</v>
      </c>
      <c r="B537" t="s">
        <v>34</v>
      </c>
      <c r="C537" t="s">
        <v>47</v>
      </c>
      <c r="D537" t="s">
        <v>48</v>
      </c>
      <c r="E537" s="9">
        <v>101</v>
      </c>
      <c r="F537" t="s">
        <v>72</v>
      </c>
      <c r="G537" t="s">
        <v>59</v>
      </c>
      <c r="H537" s="7" t="s">
        <v>83</v>
      </c>
    </row>
    <row r="538" spans="1:8">
      <c r="A538">
        <v>2026</v>
      </c>
      <c r="B538" t="s">
        <v>34</v>
      </c>
      <c r="C538" t="s">
        <v>47</v>
      </c>
      <c r="D538" t="s">
        <v>48</v>
      </c>
      <c r="E538" s="9">
        <v>40</v>
      </c>
      <c r="F538" t="s">
        <v>91</v>
      </c>
      <c r="G538" t="s">
        <v>59</v>
      </c>
      <c r="H538" s="7" t="s">
        <v>84</v>
      </c>
    </row>
    <row r="539" spans="1:8">
      <c r="A539">
        <v>2026</v>
      </c>
      <c r="B539" t="s">
        <v>34</v>
      </c>
      <c r="C539" t="s">
        <v>47</v>
      </c>
      <c r="D539" t="s">
        <v>48</v>
      </c>
      <c r="E539" s="9">
        <v>6</v>
      </c>
      <c r="F539" t="s">
        <v>93</v>
      </c>
      <c r="G539" t="s">
        <v>50</v>
      </c>
      <c r="H539" s="7" t="s">
        <v>84</v>
      </c>
    </row>
    <row r="540" spans="1:8">
      <c r="A540">
        <v>2026</v>
      </c>
      <c r="B540" t="s">
        <v>34</v>
      </c>
      <c r="C540" t="s">
        <v>47</v>
      </c>
      <c r="D540" t="s">
        <v>60</v>
      </c>
      <c r="E540" s="9">
        <v>33</v>
      </c>
      <c r="F540" t="s">
        <v>96</v>
      </c>
      <c r="G540" t="s">
        <v>59</v>
      </c>
      <c r="H540" t="s">
        <v>84</v>
      </c>
    </row>
    <row r="541" spans="1:8">
      <c r="A541">
        <v>2026</v>
      </c>
      <c r="B541" t="s">
        <v>34</v>
      </c>
      <c r="C541" t="s">
        <v>47</v>
      </c>
      <c r="D541" t="s">
        <v>60</v>
      </c>
      <c r="E541" s="9">
        <v>61.8</v>
      </c>
      <c r="F541" t="s">
        <v>105</v>
      </c>
      <c r="G541" t="s">
        <v>50</v>
      </c>
      <c r="H541" t="s">
        <v>86</v>
      </c>
    </row>
    <row r="542" spans="1:8">
      <c r="A542">
        <v>2026</v>
      </c>
      <c r="B542" t="s">
        <v>34</v>
      </c>
      <c r="C542" t="s">
        <v>47</v>
      </c>
      <c r="D542" t="s">
        <v>60</v>
      </c>
      <c r="E542" s="9">
        <v>31.2</v>
      </c>
      <c r="F542" t="s">
        <v>106</v>
      </c>
      <c r="G542" s="7" t="s">
        <v>50</v>
      </c>
      <c r="H542" t="s">
        <v>86</v>
      </c>
    </row>
    <row r="543" spans="1:8">
      <c r="A543">
        <v>2026</v>
      </c>
      <c r="B543" t="s">
        <v>34</v>
      </c>
      <c r="C543" t="s">
        <v>47</v>
      </c>
      <c r="D543" t="s">
        <v>62</v>
      </c>
      <c r="E543" s="9">
        <v>235.73</v>
      </c>
      <c r="F543" s="7" t="s">
        <v>62</v>
      </c>
      <c r="G543" t="s">
        <v>59</v>
      </c>
      <c r="H543" t="s">
        <v>84</v>
      </c>
    </row>
    <row r="544" spans="1:8">
      <c r="A544">
        <v>2026</v>
      </c>
      <c r="B544" t="s">
        <v>34</v>
      </c>
      <c r="C544" t="s">
        <v>52</v>
      </c>
      <c r="D544" t="s">
        <v>63</v>
      </c>
      <c r="E544" s="9">
        <v>34.5</v>
      </c>
      <c r="F544" s="7" t="s">
        <v>63</v>
      </c>
      <c r="G544" t="s">
        <v>59</v>
      </c>
      <c r="H544" t="s">
        <v>65</v>
      </c>
    </row>
    <row r="545" spans="1:8">
      <c r="A545">
        <v>2026</v>
      </c>
      <c r="B545" t="s">
        <v>34</v>
      </c>
      <c r="C545" t="s">
        <v>52</v>
      </c>
      <c r="D545" t="s">
        <v>64</v>
      </c>
      <c r="E545" s="9">
        <v>145</v>
      </c>
      <c r="F545" t="s">
        <v>95</v>
      </c>
      <c r="G545" s="7" t="s">
        <v>59</v>
      </c>
      <c r="H545" t="s">
        <v>65</v>
      </c>
    </row>
    <row r="546" spans="1:8">
      <c r="A546">
        <v>2026</v>
      </c>
      <c r="B546" t="s">
        <v>34</v>
      </c>
      <c r="C546" t="s">
        <v>52</v>
      </c>
      <c r="D546" t="s">
        <v>64</v>
      </c>
      <c r="E546" s="9">
        <v>68.38</v>
      </c>
      <c r="F546" t="s">
        <v>65</v>
      </c>
      <c r="G546" s="7" t="s">
        <v>50</v>
      </c>
      <c r="H546" t="s">
        <v>65</v>
      </c>
    </row>
    <row r="547" spans="1:8">
      <c r="A547">
        <v>2026</v>
      </c>
      <c r="B547" t="s">
        <v>34</v>
      </c>
      <c r="C547" t="s">
        <v>52</v>
      </c>
      <c r="D547" t="s">
        <v>75</v>
      </c>
      <c r="E547" s="9">
        <v>207.88</v>
      </c>
      <c r="F547" t="s">
        <v>75</v>
      </c>
      <c r="G547" t="s">
        <v>59</v>
      </c>
      <c r="H547" t="s">
        <v>65</v>
      </c>
    </row>
    <row r="548" spans="1:8">
      <c r="A548">
        <v>2026</v>
      </c>
      <c r="B548" t="s">
        <v>34</v>
      </c>
      <c r="C548" t="s">
        <v>52</v>
      </c>
      <c r="D548" t="s">
        <v>53</v>
      </c>
      <c r="E548" s="9">
        <v>42</v>
      </c>
      <c r="F548" t="s">
        <v>101</v>
      </c>
      <c r="G548" t="s">
        <v>50</v>
      </c>
      <c r="H548" t="s">
        <v>65</v>
      </c>
    </row>
    <row r="549" spans="1:8">
      <c r="A549">
        <v>2026</v>
      </c>
      <c r="B549" t="s">
        <v>35</v>
      </c>
      <c r="C549" t="s">
        <v>47</v>
      </c>
      <c r="D549" t="s">
        <v>57</v>
      </c>
      <c r="E549" s="9">
        <v>500</v>
      </c>
      <c r="F549" t="s">
        <v>89</v>
      </c>
      <c r="G549" t="s">
        <v>59</v>
      </c>
      <c r="H549" s="7" t="s">
        <v>83</v>
      </c>
    </row>
    <row r="550" spans="1:8">
      <c r="A550">
        <v>2026</v>
      </c>
      <c r="B550" t="s">
        <v>35</v>
      </c>
      <c r="C550" t="s">
        <v>47</v>
      </c>
      <c r="D550" t="s">
        <v>48</v>
      </c>
      <c r="E550" s="9">
        <v>40</v>
      </c>
      <c r="F550" t="s">
        <v>91</v>
      </c>
      <c r="G550" t="s">
        <v>59</v>
      </c>
      <c r="H550" s="7" t="s">
        <v>84</v>
      </c>
    </row>
    <row r="551" spans="1:8">
      <c r="A551">
        <v>2026</v>
      </c>
      <c r="B551" t="s">
        <v>35</v>
      </c>
      <c r="C551" t="s">
        <v>47</v>
      </c>
      <c r="D551" t="s">
        <v>48</v>
      </c>
      <c r="E551" s="9">
        <v>80</v>
      </c>
      <c r="F551" t="s">
        <v>98</v>
      </c>
      <c r="G551" t="s">
        <v>59</v>
      </c>
      <c r="H551" s="7" t="s">
        <v>84</v>
      </c>
    </row>
    <row r="552" spans="1:8">
      <c r="A552">
        <v>2026</v>
      </c>
      <c r="B552" t="s">
        <v>35</v>
      </c>
      <c r="C552" t="s">
        <v>47</v>
      </c>
      <c r="D552" t="s">
        <v>48</v>
      </c>
      <c r="E552" s="9">
        <v>6</v>
      </c>
      <c r="F552" t="s">
        <v>93</v>
      </c>
      <c r="G552" t="s">
        <v>50</v>
      </c>
      <c r="H552" s="7" t="s">
        <v>84</v>
      </c>
    </row>
    <row r="553" spans="1:8">
      <c r="A553">
        <v>2026</v>
      </c>
      <c r="B553" t="s">
        <v>35</v>
      </c>
      <c r="C553" t="s">
        <v>47</v>
      </c>
      <c r="D553" t="s">
        <v>60</v>
      </c>
      <c r="E553" s="9">
        <v>50</v>
      </c>
      <c r="F553" t="s">
        <v>96</v>
      </c>
      <c r="G553" t="s">
        <v>59</v>
      </c>
      <c r="H553" t="s">
        <v>84</v>
      </c>
    </row>
    <row r="554" spans="1:8">
      <c r="A554">
        <v>2026</v>
      </c>
      <c r="B554" t="s">
        <v>35</v>
      </c>
      <c r="C554" t="s">
        <v>47</v>
      </c>
      <c r="D554" t="s">
        <v>60</v>
      </c>
      <c r="E554" s="9">
        <v>86</v>
      </c>
      <c r="F554" t="s">
        <v>105</v>
      </c>
      <c r="G554" t="s">
        <v>50</v>
      </c>
      <c r="H554" t="s">
        <v>86</v>
      </c>
    </row>
    <row r="555" spans="1:8">
      <c r="A555">
        <v>2026</v>
      </c>
      <c r="B555" t="s">
        <v>35</v>
      </c>
      <c r="C555" t="s">
        <v>47</v>
      </c>
      <c r="D555" t="s">
        <v>62</v>
      </c>
      <c r="E555" s="9">
        <v>187.68</v>
      </c>
      <c r="F555" s="7" t="s">
        <v>62</v>
      </c>
      <c r="G555" t="s">
        <v>59</v>
      </c>
      <c r="H555" t="s">
        <v>84</v>
      </c>
    </row>
    <row r="556" spans="1:8">
      <c r="A556">
        <v>2026</v>
      </c>
      <c r="B556" t="s">
        <v>35</v>
      </c>
      <c r="C556" t="s">
        <v>47</v>
      </c>
      <c r="D556" t="s">
        <v>68</v>
      </c>
      <c r="E556" s="9">
        <v>97.97</v>
      </c>
      <c r="F556" t="s">
        <v>68</v>
      </c>
      <c r="G556" t="s">
        <v>59</v>
      </c>
      <c r="H556" t="s">
        <v>84</v>
      </c>
    </row>
    <row r="557" spans="1:8">
      <c r="A557">
        <v>2026</v>
      </c>
      <c r="B557" t="s">
        <v>35</v>
      </c>
      <c r="C557" t="s">
        <v>52</v>
      </c>
      <c r="D557" t="s">
        <v>63</v>
      </c>
      <c r="E557" s="9">
        <v>34</v>
      </c>
      <c r="F557" s="7" t="s">
        <v>63</v>
      </c>
      <c r="G557" t="s">
        <v>59</v>
      </c>
      <c r="H557" t="s">
        <v>65</v>
      </c>
    </row>
    <row r="558" spans="1:8">
      <c r="A558">
        <v>2026</v>
      </c>
      <c r="B558" t="s">
        <v>35</v>
      </c>
      <c r="C558" t="s">
        <v>52</v>
      </c>
      <c r="D558" t="s">
        <v>64</v>
      </c>
      <c r="E558" s="9">
        <v>357.5</v>
      </c>
      <c r="F558" t="s">
        <v>95</v>
      </c>
      <c r="G558" s="7" t="s">
        <v>59</v>
      </c>
      <c r="H558" t="s">
        <v>65</v>
      </c>
    </row>
    <row r="559" spans="1:8">
      <c r="A559">
        <v>2026</v>
      </c>
      <c r="B559" t="s">
        <v>35</v>
      </c>
      <c r="C559" t="s">
        <v>52</v>
      </c>
      <c r="D559" t="s">
        <v>64</v>
      </c>
      <c r="E559" s="9">
        <v>60.4</v>
      </c>
      <c r="F559" t="s">
        <v>65</v>
      </c>
      <c r="G559" s="7" t="s">
        <v>50</v>
      </c>
      <c r="H559" t="s">
        <v>65</v>
      </c>
    </row>
    <row r="560" spans="1:8">
      <c r="A560">
        <v>2026</v>
      </c>
      <c r="B560" t="s">
        <v>35</v>
      </c>
      <c r="C560" t="s">
        <v>52</v>
      </c>
      <c r="D560" t="s">
        <v>55</v>
      </c>
      <c r="E560" s="9">
        <v>67.98</v>
      </c>
      <c r="G560" t="s">
        <v>50</v>
      </c>
      <c r="H560" t="s">
        <v>65</v>
      </c>
    </row>
    <row r="561" spans="1:8">
      <c r="A561">
        <v>2026</v>
      </c>
      <c r="B561" t="s">
        <v>35</v>
      </c>
      <c r="C561" t="s">
        <v>52</v>
      </c>
      <c r="D561" t="s">
        <v>53</v>
      </c>
      <c r="E561" s="9">
        <v>42</v>
      </c>
      <c r="F561" t="s">
        <v>101</v>
      </c>
      <c r="G561" t="s">
        <v>50</v>
      </c>
      <c r="H561" t="s">
        <v>65</v>
      </c>
    </row>
    <row r="562" spans="1:8">
      <c r="A562">
        <v>2026</v>
      </c>
      <c r="B562" t="s">
        <v>25</v>
      </c>
      <c r="C562" t="s">
        <v>47</v>
      </c>
      <c r="D562" t="s">
        <v>57</v>
      </c>
      <c r="E562" s="9">
        <v>500</v>
      </c>
      <c r="F562" t="s">
        <v>89</v>
      </c>
      <c r="G562" t="s">
        <v>59</v>
      </c>
      <c r="H562" s="7" t="s">
        <v>83</v>
      </c>
    </row>
    <row r="563" spans="1:8">
      <c r="A563">
        <v>2026</v>
      </c>
      <c r="B563" t="s">
        <v>25</v>
      </c>
      <c r="C563" t="s">
        <v>47</v>
      </c>
      <c r="D563" t="s">
        <v>48</v>
      </c>
      <c r="E563" s="9">
        <v>207</v>
      </c>
      <c r="F563" t="s">
        <v>72</v>
      </c>
      <c r="G563" t="s">
        <v>59</v>
      </c>
      <c r="H563" s="7" t="s">
        <v>83</v>
      </c>
    </row>
    <row r="564" spans="1:8">
      <c r="A564">
        <v>2026</v>
      </c>
      <c r="B564" t="s">
        <v>25</v>
      </c>
      <c r="C564" t="s">
        <v>47</v>
      </c>
      <c r="D564" t="s">
        <v>48</v>
      </c>
      <c r="E564" s="9">
        <v>40</v>
      </c>
      <c r="F564" t="s">
        <v>91</v>
      </c>
      <c r="G564" t="s">
        <v>59</v>
      </c>
      <c r="H564" s="7" t="s">
        <v>84</v>
      </c>
    </row>
    <row r="565" spans="1:8">
      <c r="A565">
        <v>2026</v>
      </c>
      <c r="B565" t="s">
        <v>25</v>
      </c>
      <c r="C565" t="s">
        <v>47</v>
      </c>
      <c r="D565" t="s">
        <v>48</v>
      </c>
      <c r="E565" s="9">
        <v>6</v>
      </c>
      <c r="F565" t="s">
        <v>93</v>
      </c>
      <c r="G565" t="s">
        <v>50</v>
      </c>
      <c r="H565" s="7" t="s">
        <v>84</v>
      </c>
    </row>
    <row r="566" spans="1:8">
      <c r="A566">
        <v>2026</v>
      </c>
      <c r="B566" t="s">
        <v>25</v>
      </c>
      <c r="C566" t="s">
        <v>47</v>
      </c>
      <c r="D566" t="s">
        <v>60</v>
      </c>
      <c r="E566" s="9">
        <v>74.13</v>
      </c>
      <c r="F566" t="s">
        <v>107</v>
      </c>
      <c r="G566" t="s">
        <v>59</v>
      </c>
      <c r="H566" t="s">
        <v>84</v>
      </c>
    </row>
    <row r="567" spans="1:8">
      <c r="A567">
        <v>2026</v>
      </c>
      <c r="B567" t="s">
        <v>25</v>
      </c>
      <c r="C567" t="s">
        <v>47</v>
      </c>
      <c r="D567" t="s">
        <v>60</v>
      </c>
      <c r="E567" s="9">
        <v>50</v>
      </c>
      <c r="F567" t="s">
        <v>105</v>
      </c>
      <c r="G567" t="s">
        <v>50</v>
      </c>
      <c r="H567" t="s">
        <v>86</v>
      </c>
    </row>
    <row r="568" spans="1:8">
      <c r="A568">
        <v>2026</v>
      </c>
      <c r="B568" t="s">
        <v>25</v>
      </c>
      <c r="C568" t="s">
        <v>47</v>
      </c>
      <c r="D568" t="s">
        <v>60</v>
      </c>
      <c r="E568" s="9">
        <v>107</v>
      </c>
      <c r="F568" t="s">
        <v>69</v>
      </c>
      <c r="G568" t="s">
        <v>59</v>
      </c>
      <c r="H568" t="s">
        <v>86</v>
      </c>
    </row>
    <row r="569" spans="1:8">
      <c r="A569">
        <v>2026</v>
      </c>
      <c r="B569" t="s">
        <v>25</v>
      </c>
      <c r="C569" t="s">
        <v>47</v>
      </c>
      <c r="D569" t="s">
        <v>81</v>
      </c>
      <c r="E569" s="9">
        <v>75.489999999999995</v>
      </c>
      <c r="F569" t="s">
        <v>81</v>
      </c>
      <c r="G569" t="s">
        <v>50</v>
      </c>
      <c r="H569" t="s">
        <v>86</v>
      </c>
    </row>
    <row r="570" spans="1:8">
      <c r="A570">
        <v>2026</v>
      </c>
      <c r="B570" t="s">
        <v>25</v>
      </c>
      <c r="C570" t="s">
        <v>47</v>
      </c>
      <c r="D570" t="s">
        <v>62</v>
      </c>
      <c r="E570" s="9">
        <v>198.86</v>
      </c>
      <c r="F570" s="7" t="s">
        <v>62</v>
      </c>
      <c r="G570" t="s">
        <v>59</v>
      </c>
      <c r="H570" t="s">
        <v>84</v>
      </c>
    </row>
    <row r="571" spans="1:8">
      <c r="A571">
        <v>2026</v>
      </c>
      <c r="B571" t="s">
        <v>25</v>
      </c>
      <c r="C571" t="s">
        <v>52</v>
      </c>
      <c r="D571" t="s">
        <v>63</v>
      </c>
      <c r="E571" s="9">
        <v>141</v>
      </c>
      <c r="F571" s="7" t="s">
        <v>63</v>
      </c>
      <c r="G571" t="s">
        <v>59</v>
      </c>
      <c r="H571" t="s">
        <v>65</v>
      </c>
    </row>
    <row r="572" spans="1:8">
      <c r="A572">
        <v>2026</v>
      </c>
      <c r="B572" t="s">
        <v>25</v>
      </c>
      <c r="C572" t="s">
        <v>52</v>
      </c>
      <c r="D572" t="s">
        <v>64</v>
      </c>
      <c r="E572" s="9">
        <v>65.47</v>
      </c>
      <c r="F572" t="s">
        <v>65</v>
      </c>
      <c r="G572" s="7" t="s">
        <v>50</v>
      </c>
      <c r="H572" t="s">
        <v>65</v>
      </c>
    </row>
    <row r="573" spans="1:8">
      <c r="A573">
        <v>2026</v>
      </c>
      <c r="B573" t="s">
        <v>25</v>
      </c>
      <c r="C573" t="s">
        <v>52</v>
      </c>
      <c r="D573" t="s">
        <v>75</v>
      </c>
      <c r="E573" s="9">
        <v>400</v>
      </c>
      <c r="F573" t="s">
        <v>75</v>
      </c>
      <c r="G573" t="s">
        <v>59</v>
      </c>
      <c r="H573" t="s">
        <v>65</v>
      </c>
    </row>
    <row r="574" spans="1:8">
      <c r="A574">
        <v>2026</v>
      </c>
      <c r="B574" t="s">
        <v>25</v>
      </c>
      <c r="C574" t="s">
        <v>52</v>
      </c>
      <c r="D574" t="s">
        <v>55</v>
      </c>
      <c r="E574" s="9">
        <v>41</v>
      </c>
      <c r="F574" t="s">
        <v>56</v>
      </c>
      <c r="G574" t="s">
        <v>50</v>
      </c>
      <c r="H574" t="s">
        <v>65</v>
      </c>
    </row>
    <row r="575" spans="1:8">
      <c r="A575">
        <v>2026</v>
      </c>
      <c r="B575" t="s">
        <v>25</v>
      </c>
      <c r="C575" t="s">
        <v>52</v>
      </c>
      <c r="D575" t="s">
        <v>53</v>
      </c>
      <c r="E575" s="9">
        <v>42</v>
      </c>
      <c r="F575" t="s">
        <v>101</v>
      </c>
      <c r="G575" t="s">
        <v>50</v>
      </c>
      <c r="H575" t="s">
        <v>65</v>
      </c>
    </row>
    <row r="576" spans="1:8">
      <c r="A576">
        <v>2026</v>
      </c>
      <c r="B576" t="s">
        <v>25</v>
      </c>
      <c r="C576" t="s">
        <v>52</v>
      </c>
      <c r="D576" t="s">
        <v>71</v>
      </c>
      <c r="E576" s="9">
        <v>6</v>
      </c>
      <c r="G576" t="s">
        <v>50</v>
      </c>
      <c r="H576" t="s">
        <v>65</v>
      </c>
    </row>
    <row r="577" spans="1:8">
      <c r="A577">
        <v>2026</v>
      </c>
      <c r="B577" t="s">
        <v>26</v>
      </c>
      <c r="C577" t="s">
        <v>47</v>
      </c>
      <c r="D577" t="s">
        <v>57</v>
      </c>
      <c r="E577" s="9">
        <v>500</v>
      </c>
      <c r="F577" t="s">
        <v>89</v>
      </c>
      <c r="G577" t="s">
        <v>59</v>
      </c>
      <c r="H577" s="7" t="s">
        <v>83</v>
      </c>
    </row>
    <row r="578" spans="1:8">
      <c r="A578">
        <v>2026</v>
      </c>
      <c r="B578" t="s">
        <v>26</v>
      </c>
      <c r="C578" t="s">
        <v>47</v>
      </c>
      <c r="D578" t="s">
        <v>48</v>
      </c>
      <c r="E578" s="9">
        <v>31</v>
      </c>
      <c r="F578" t="s">
        <v>91</v>
      </c>
      <c r="G578" t="s">
        <v>59</v>
      </c>
      <c r="H578" s="7" t="s">
        <v>84</v>
      </c>
    </row>
    <row r="579" spans="1:8">
      <c r="A579">
        <v>2026</v>
      </c>
      <c r="B579" t="s">
        <v>26</v>
      </c>
      <c r="C579" t="s">
        <v>47</v>
      </c>
      <c r="D579" t="s">
        <v>48</v>
      </c>
      <c r="E579" s="9">
        <v>6</v>
      </c>
      <c r="F579" t="s">
        <v>93</v>
      </c>
      <c r="G579" t="s">
        <v>50</v>
      </c>
      <c r="H579" s="7" t="s">
        <v>84</v>
      </c>
    </row>
    <row r="580" spans="1:8">
      <c r="A580">
        <v>2026</v>
      </c>
      <c r="B580" t="s">
        <v>26</v>
      </c>
      <c r="C580" t="s">
        <v>47</v>
      </c>
      <c r="D580" t="s">
        <v>60</v>
      </c>
      <c r="E580" s="9">
        <v>92.3</v>
      </c>
      <c r="F580" t="s">
        <v>105</v>
      </c>
      <c r="G580" t="s">
        <v>50</v>
      </c>
      <c r="H580" t="s">
        <v>86</v>
      </c>
    </row>
    <row r="581" spans="1:8">
      <c r="A581">
        <v>2026</v>
      </c>
      <c r="B581" t="s">
        <v>26</v>
      </c>
      <c r="C581" t="s">
        <v>47</v>
      </c>
      <c r="D581" t="s">
        <v>68</v>
      </c>
      <c r="E581" s="9">
        <v>55.39</v>
      </c>
      <c r="F581" t="s">
        <v>68</v>
      </c>
      <c r="G581" t="s">
        <v>59</v>
      </c>
      <c r="H581" t="s">
        <v>84</v>
      </c>
    </row>
    <row r="582" spans="1:8">
      <c r="A582">
        <v>2026</v>
      </c>
      <c r="B582" t="s">
        <v>26</v>
      </c>
      <c r="C582" t="s">
        <v>47</v>
      </c>
      <c r="D582" t="s">
        <v>62</v>
      </c>
      <c r="E582" s="9">
        <v>238.68</v>
      </c>
      <c r="F582" s="7" t="s">
        <v>62</v>
      </c>
      <c r="G582" t="s">
        <v>59</v>
      </c>
      <c r="H582" t="s">
        <v>84</v>
      </c>
    </row>
    <row r="583" spans="1:8">
      <c r="A583">
        <v>2026</v>
      </c>
      <c r="B583" t="s">
        <v>26</v>
      </c>
      <c r="C583" t="s">
        <v>52</v>
      </c>
      <c r="D583" t="s">
        <v>63</v>
      </c>
      <c r="E583" s="9">
        <v>84.49</v>
      </c>
      <c r="F583" s="7" t="s">
        <v>63</v>
      </c>
      <c r="G583" t="s">
        <v>59</v>
      </c>
      <c r="H583" t="s">
        <v>65</v>
      </c>
    </row>
    <row r="584" spans="1:8">
      <c r="A584">
        <v>2026</v>
      </c>
      <c r="B584" t="s">
        <v>26</v>
      </c>
      <c r="C584" t="s">
        <v>52</v>
      </c>
      <c r="D584" t="s">
        <v>64</v>
      </c>
      <c r="E584" s="9">
        <v>171.56</v>
      </c>
      <c r="F584" t="s">
        <v>65</v>
      </c>
      <c r="G584" s="7" t="s">
        <v>50</v>
      </c>
      <c r="H584" t="s">
        <v>65</v>
      </c>
    </row>
    <row r="585" spans="1:8">
      <c r="A585">
        <v>2026</v>
      </c>
      <c r="B585" t="s">
        <v>26</v>
      </c>
      <c r="C585" t="s">
        <v>52</v>
      </c>
      <c r="D585" t="s">
        <v>75</v>
      </c>
      <c r="E585" s="9">
        <v>113</v>
      </c>
      <c r="F585" t="s">
        <v>75</v>
      </c>
      <c r="G585" t="s">
        <v>59</v>
      </c>
      <c r="H585" t="s">
        <v>65</v>
      </c>
    </row>
    <row r="586" spans="1:8">
      <c r="A586">
        <v>2026</v>
      </c>
      <c r="B586" t="s">
        <v>26</v>
      </c>
      <c r="C586" t="s">
        <v>52</v>
      </c>
      <c r="D586" t="s">
        <v>55</v>
      </c>
      <c r="E586" s="9">
        <v>41</v>
      </c>
      <c r="F586" t="s">
        <v>56</v>
      </c>
      <c r="G586" t="s">
        <v>50</v>
      </c>
      <c r="H586" t="s">
        <v>65</v>
      </c>
    </row>
    <row r="587" spans="1:8">
      <c r="A587">
        <v>2026</v>
      </c>
      <c r="B587" t="s">
        <v>26</v>
      </c>
      <c r="C587" t="s">
        <v>52</v>
      </c>
      <c r="D587" t="s">
        <v>53</v>
      </c>
      <c r="E587" s="9">
        <v>21</v>
      </c>
      <c r="F587" t="s">
        <v>101</v>
      </c>
      <c r="G587" t="s">
        <v>50</v>
      </c>
      <c r="H587" t="s">
        <v>65</v>
      </c>
    </row>
    <row r="588" spans="1:8">
      <c r="A588">
        <v>2026</v>
      </c>
      <c r="B588" t="s">
        <v>5</v>
      </c>
      <c r="C588" t="s">
        <v>47</v>
      </c>
      <c r="D588" t="s">
        <v>57</v>
      </c>
      <c r="E588" s="9">
        <v>500</v>
      </c>
      <c r="F588" t="s">
        <v>89</v>
      </c>
      <c r="G588" t="s">
        <v>59</v>
      </c>
      <c r="H588" s="7" t="s">
        <v>83</v>
      </c>
    </row>
    <row r="589" spans="1:8">
      <c r="A589">
        <v>2026</v>
      </c>
      <c r="B589" t="s">
        <v>5</v>
      </c>
      <c r="C589" t="s">
        <v>47</v>
      </c>
      <c r="D589" t="s">
        <v>48</v>
      </c>
      <c r="E589" s="9">
        <v>137</v>
      </c>
      <c r="F589" t="s">
        <v>72</v>
      </c>
      <c r="G589" t="s">
        <v>59</v>
      </c>
      <c r="H589" s="7" t="s">
        <v>83</v>
      </c>
    </row>
    <row r="590" spans="1:8">
      <c r="A590">
        <v>2026</v>
      </c>
      <c r="B590" t="s">
        <v>5</v>
      </c>
      <c r="C590" t="s">
        <v>47</v>
      </c>
      <c r="D590" t="s">
        <v>48</v>
      </c>
      <c r="E590" s="9">
        <v>40</v>
      </c>
      <c r="F590" t="s">
        <v>91</v>
      </c>
      <c r="G590" t="s">
        <v>59</v>
      </c>
      <c r="H590" s="7" t="s">
        <v>84</v>
      </c>
    </row>
    <row r="591" spans="1:8">
      <c r="A591">
        <v>2026</v>
      </c>
      <c r="B591" t="s">
        <v>5</v>
      </c>
      <c r="C591" t="s">
        <v>47</v>
      </c>
      <c r="D591" t="s">
        <v>48</v>
      </c>
      <c r="E591" s="9">
        <v>6</v>
      </c>
      <c r="F591" t="s">
        <v>93</v>
      </c>
      <c r="G591" t="s">
        <v>50</v>
      </c>
      <c r="H591" s="7" t="s">
        <v>84</v>
      </c>
    </row>
    <row r="592" spans="1:8">
      <c r="A592">
        <v>2026</v>
      </c>
      <c r="B592" t="s">
        <v>5</v>
      </c>
      <c r="C592" t="s">
        <v>47</v>
      </c>
      <c r="D592" t="s">
        <v>60</v>
      </c>
      <c r="E592" s="9">
        <v>70.41</v>
      </c>
      <c r="F592" t="s">
        <v>96</v>
      </c>
      <c r="G592" t="s">
        <v>50</v>
      </c>
      <c r="H592" t="s">
        <v>84</v>
      </c>
    </row>
    <row r="593" spans="1:8">
      <c r="A593">
        <v>2026</v>
      </c>
      <c r="B593" t="s">
        <v>5</v>
      </c>
      <c r="C593" t="s">
        <v>47</v>
      </c>
      <c r="D593" t="s">
        <v>60</v>
      </c>
      <c r="E593" s="9">
        <v>16.8</v>
      </c>
      <c r="F593" t="s">
        <v>94</v>
      </c>
      <c r="G593" t="s">
        <v>50</v>
      </c>
      <c r="H593" t="s">
        <v>86</v>
      </c>
    </row>
    <row r="594" spans="1:8">
      <c r="A594">
        <v>2026</v>
      </c>
      <c r="B594" t="s">
        <v>5</v>
      </c>
      <c r="C594" t="s">
        <v>47</v>
      </c>
      <c r="D594" t="s">
        <v>62</v>
      </c>
      <c r="E594" s="9">
        <v>36</v>
      </c>
      <c r="F594" s="7" t="s">
        <v>62</v>
      </c>
      <c r="G594" t="s">
        <v>59</v>
      </c>
      <c r="H594" t="s">
        <v>84</v>
      </c>
    </row>
    <row r="595" spans="1:8">
      <c r="A595">
        <v>2026</v>
      </c>
      <c r="B595" t="s">
        <v>5</v>
      </c>
      <c r="C595" t="s">
        <v>52</v>
      </c>
      <c r="D595" t="s">
        <v>64</v>
      </c>
      <c r="E595" s="9">
        <v>51.67</v>
      </c>
      <c r="F595" t="s">
        <v>65</v>
      </c>
      <c r="G595" s="7" t="s">
        <v>50</v>
      </c>
      <c r="H595" t="s">
        <v>65</v>
      </c>
    </row>
    <row r="596" spans="1:8">
      <c r="A596">
        <v>2026</v>
      </c>
      <c r="B596" t="s">
        <v>5</v>
      </c>
      <c r="C596" t="s">
        <v>52</v>
      </c>
      <c r="D596" t="s">
        <v>55</v>
      </c>
      <c r="E596" s="9">
        <v>110.49</v>
      </c>
      <c r="G596" t="s">
        <v>59</v>
      </c>
      <c r="H596" t="s">
        <v>65</v>
      </c>
    </row>
    <row r="597" spans="1:8">
      <c r="A597">
        <v>2026</v>
      </c>
      <c r="B597" t="s">
        <v>5</v>
      </c>
      <c r="C597" t="s">
        <v>52</v>
      </c>
      <c r="D597" t="s">
        <v>75</v>
      </c>
      <c r="E597" s="9">
        <v>345.11</v>
      </c>
      <c r="F597" t="s">
        <v>75</v>
      </c>
      <c r="G597" t="s">
        <v>59</v>
      </c>
      <c r="H597" t="s">
        <v>65</v>
      </c>
    </row>
    <row r="598" spans="1:8">
      <c r="A598">
        <v>2026</v>
      </c>
      <c r="B598" t="s">
        <v>5</v>
      </c>
      <c r="C598" t="s">
        <v>47</v>
      </c>
      <c r="D598" t="s">
        <v>48</v>
      </c>
      <c r="E598" s="9">
        <v>41</v>
      </c>
      <c r="F598" t="s">
        <v>91</v>
      </c>
      <c r="G598" t="s">
        <v>59</v>
      </c>
      <c r="H598" s="7" t="s">
        <v>84</v>
      </c>
    </row>
    <row r="599" spans="1:8">
      <c r="A599">
        <v>2026</v>
      </c>
      <c r="B599" t="s">
        <v>12</v>
      </c>
      <c r="C599" t="s">
        <v>47</v>
      </c>
      <c r="D599" t="s">
        <v>57</v>
      </c>
      <c r="E599" s="9">
        <v>500</v>
      </c>
      <c r="F599" t="s">
        <v>89</v>
      </c>
      <c r="G599" t="s">
        <v>59</v>
      </c>
      <c r="H599" s="7" t="s">
        <v>83</v>
      </c>
    </row>
    <row r="600" spans="1:8">
      <c r="A600">
        <v>2026</v>
      </c>
      <c r="B600" t="s">
        <v>12</v>
      </c>
      <c r="C600" t="s">
        <v>47</v>
      </c>
      <c r="D600" t="s">
        <v>48</v>
      </c>
      <c r="E600" s="9">
        <v>40</v>
      </c>
      <c r="F600" t="s">
        <v>91</v>
      </c>
      <c r="G600" t="s">
        <v>59</v>
      </c>
      <c r="H600" s="7" t="s">
        <v>84</v>
      </c>
    </row>
    <row r="601" spans="1:8">
      <c r="A601">
        <v>2026</v>
      </c>
      <c r="B601" t="s">
        <v>12</v>
      </c>
      <c r="C601" t="s">
        <v>47</v>
      </c>
      <c r="D601" t="s">
        <v>48</v>
      </c>
      <c r="E601" s="9">
        <v>6</v>
      </c>
      <c r="F601" t="s">
        <v>93</v>
      </c>
      <c r="G601" t="s">
        <v>50</v>
      </c>
      <c r="H601" s="7" t="s">
        <v>84</v>
      </c>
    </row>
    <row r="602" spans="1:8">
      <c r="A602">
        <v>2026</v>
      </c>
      <c r="B602" t="s">
        <v>12</v>
      </c>
      <c r="C602" t="s">
        <v>47</v>
      </c>
      <c r="D602" t="s">
        <v>60</v>
      </c>
      <c r="E602" s="9">
        <v>60</v>
      </c>
      <c r="F602" t="s">
        <v>96</v>
      </c>
      <c r="G602" t="s">
        <v>50</v>
      </c>
      <c r="H602" t="s">
        <v>84</v>
      </c>
    </row>
    <row r="603" spans="1:8">
      <c r="A603">
        <v>2026</v>
      </c>
      <c r="B603" t="s">
        <v>12</v>
      </c>
      <c r="C603" t="s">
        <v>47</v>
      </c>
      <c r="D603" t="s">
        <v>60</v>
      </c>
      <c r="E603" s="9">
        <v>40</v>
      </c>
      <c r="F603" t="s">
        <v>94</v>
      </c>
      <c r="G603" t="s">
        <v>50</v>
      </c>
      <c r="H603" t="s">
        <v>86</v>
      </c>
    </row>
    <row r="604" spans="1:8">
      <c r="A604">
        <v>2026</v>
      </c>
      <c r="B604" t="s">
        <v>12</v>
      </c>
      <c r="C604" t="s">
        <v>47</v>
      </c>
      <c r="D604" t="s">
        <v>60</v>
      </c>
      <c r="E604" s="9">
        <v>21.6</v>
      </c>
      <c r="F604" t="s">
        <v>106</v>
      </c>
      <c r="G604" s="7" t="s">
        <v>50</v>
      </c>
      <c r="H604" t="s">
        <v>86</v>
      </c>
    </row>
    <row r="605" spans="1:8">
      <c r="A605">
        <v>2026</v>
      </c>
      <c r="B605" t="s">
        <v>12</v>
      </c>
      <c r="C605" t="s">
        <v>47</v>
      </c>
      <c r="D605" t="s">
        <v>67</v>
      </c>
      <c r="E605" s="9">
        <v>60</v>
      </c>
      <c r="F605" t="s">
        <v>67</v>
      </c>
      <c r="G605" s="7" t="s">
        <v>59</v>
      </c>
      <c r="H605" t="s">
        <v>86</v>
      </c>
    </row>
    <row r="606" spans="1:8">
      <c r="A606">
        <v>2026</v>
      </c>
      <c r="B606" t="s">
        <v>12</v>
      </c>
      <c r="C606" t="s">
        <v>47</v>
      </c>
      <c r="D606" t="s">
        <v>68</v>
      </c>
      <c r="E606" s="9">
        <v>158.30000000000001</v>
      </c>
      <c r="F606" t="s">
        <v>68</v>
      </c>
      <c r="G606" t="s">
        <v>50</v>
      </c>
      <c r="H606" t="s">
        <v>84</v>
      </c>
    </row>
    <row r="607" spans="1:8">
      <c r="A607">
        <v>2026</v>
      </c>
      <c r="B607" t="s">
        <v>12</v>
      </c>
      <c r="C607" t="s">
        <v>47</v>
      </c>
      <c r="D607" t="s">
        <v>62</v>
      </c>
      <c r="E607" s="9">
        <v>341.68</v>
      </c>
      <c r="F607" s="7" t="s">
        <v>62</v>
      </c>
      <c r="G607" t="s">
        <v>59</v>
      </c>
      <c r="H607" t="s">
        <v>84</v>
      </c>
    </row>
    <row r="608" spans="1:8">
      <c r="A608">
        <v>2026</v>
      </c>
      <c r="B608" t="s">
        <v>12</v>
      </c>
      <c r="C608" t="s">
        <v>52</v>
      </c>
      <c r="D608" t="s">
        <v>63</v>
      </c>
      <c r="E608" s="9">
        <v>147.63</v>
      </c>
      <c r="F608" s="7" t="s">
        <v>63</v>
      </c>
      <c r="G608" t="s">
        <v>59</v>
      </c>
      <c r="H608" t="s">
        <v>65</v>
      </c>
    </row>
    <row r="609" spans="1:8">
      <c r="A609">
        <v>2026</v>
      </c>
      <c r="B609" t="s">
        <v>12</v>
      </c>
      <c r="C609" t="s">
        <v>52</v>
      </c>
      <c r="D609" t="s">
        <v>64</v>
      </c>
      <c r="E609" s="9">
        <v>71.86</v>
      </c>
      <c r="F609" t="s">
        <v>65</v>
      </c>
      <c r="G609" s="7" t="s">
        <v>50</v>
      </c>
      <c r="H609" t="s">
        <v>65</v>
      </c>
    </row>
    <row r="610" spans="1:8">
      <c r="A610">
        <v>2026</v>
      </c>
      <c r="B610" t="s">
        <v>12</v>
      </c>
      <c r="C610" t="s">
        <v>52</v>
      </c>
      <c r="D610" t="s">
        <v>55</v>
      </c>
      <c r="E610" s="9">
        <v>113</v>
      </c>
      <c r="F610" t="s">
        <v>108</v>
      </c>
      <c r="G610" t="s">
        <v>59</v>
      </c>
      <c r="H610" t="s">
        <v>65</v>
      </c>
    </row>
    <row r="611" spans="1:8">
      <c r="A611">
        <v>2026</v>
      </c>
      <c r="B611" t="s">
        <v>12</v>
      </c>
      <c r="C611" t="s">
        <v>52</v>
      </c>
      <c r="D611" t="s">
        <v>75</v>
      </c>
      <c r="E611" s="9">
        <v>1125</v>
      </c>
      <c r="F611" t="s">
        <v>75</v>
      </c>
      <c r="G611" t="s">
        <v>59</v>
      </c>
      <c r="H611" t="s">
        <v>65</v>
      </c>
    </row>
    <row r="612" spans="1:8">
      <c r="A612">
        <v>2026</v>
      </c>
      <c r="B612" t="s">
        <v>12</v>
      </c>
      <c r="C612" t="s">
        <v>52</v>
      </c>
      <c r="D612" t="s">
        <v>53</v>
      </c>
      <c r="E612" s="9">
        <v>50</v>
      </c>
      <c r="F612" t="s">
        <v>101</v>
      </c>
      <c r="G612" t="s">
        <v>50</v>
      </c>
      <c r="H612" t="s">
        <v>65</v>
      </c>
    </row>
    <row r="613" spans="1:8">
      <c r="A613">
        <v>2026</v>
      </c>
      <c r="B613" t="s">
        <v>25</v>
      </c>
      <c r="C613" t="s">
        <v>52</v>
      </c>
      <c r="D613" t="s">
        <v>55</v>
      </c>
      <c r="E613" s="9">
        <v>52</v>
      </c>
      <c r="F613" t="s">
        <v>108</v>
      </c>
      <c r="G613" t="s">
        <v>59</v>
      </c>
      <c r="H613" t="s">
        <v>65</v>
      </c>
    </row>
    <row r="614" spans="1:8">
      <c r="A614">
        <v>2026</v>
      </c>
      <c r="B614" t="s">
        <v>25</v>
      </c>
      <c r="C614" t="s">
        <v>52</v>
      </c>
      <c r="D614" t="s">
        <v>55</v>
      </c>
      <c r="E614" s="9">
        <v>25.98</v>
      </c>
      <c r="G614" t="s">
        <v>50</v>
      </c>
      <c r="H614" t="s">
        <v>65</v>
      </c>
    </row>
    <row r="615" spans="1:8">
      <c r="A615">
        <v>2026</v>
      </c>
      <c r="B615" t="s">
        <v>26</v>
      </c>
      <c r="C615" t="s">
        <v>52</v>
      </c>
      <c r="D615" t="s">
        <v>55</v>
      </c>
      <c r="E615" s="9">
        <v>53</v>
      </c>
      <c r="F615" t="s">
        <v>108</v>
      </c>
      <c r="G615" t="s">
        <v>59</v>
      </c>
      <c r="H615" t="s">
        <v>65</v>
      </c>
    </row>
    <row r="616" spans="1:8">
      <c r="A616">
        <v>2026</v>
      </c>
      <c r="B616" t="s">
        <v>26</v>
      </c>
      <c r="C616" t="s">
        <v>52</v>
      </c>
      <c r="D616" t="s">
        <v>55</v>
      </c>
      <c r="E616" s="9">
        <v>3.99</v>
      </c>
      <c r="G616" t="s">
        <v>50</v>
      </c>
      <c r="H616" t="s">
        <v>65</v>
      </c>
    </row>
    <row r="617" spans="1:8">
      <c r="A617">
        <v>2026</v>
      </c>
      <c r="B617" t="s">
        <v>12</v>
      </c>
      <c r="C617" t="s">
        <v>52</v>
      </c>
      <c r="D617" t="s">
        <v>55</v>
      </c>
      <c r="E617" s="9">
        <v>41</v>
      </c>
      <c r="F617" t="s">
        <v>56</v>
      </c>
      <c r="G617" t="s">
        <v>50</v>
      </c>
      <c r="H617" t="s">
        <v>65</v>
      </c>
    </row>
    <row r="618" spans="1:8">
      <c r="A618">
        <v>2026</v>
      </c>
      <c r="B618" t="s">
        <v>12</v>
      </c>
      <c r="C618" t="s">
        <v>52</v>
      </c>
      <c r="D618" t="s">
        <v>55</v>
      </c>
      <c r="E618" s="9">
        <v>31.48</v>
      </c>
      <c r="G618" t="s">
        <v>50</v>
      </c>
      <c r="H618" t="s">
        <v>84</v>
      </c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99CB-BD29-4A1B-ABF8-2723147F654C}">
  <dimension ref="A1:C7"/>
  <sheetViews>
    <sheetView workbookViewId="0">
      <selection activeCell="B8" sqref="B8"/>
    </sheetView>
  </sheetViews>
  <sheetFormatPr defaultRowHeight="15"/>
  <cols>
    <col min="1" max="1" width="26.85546875" customWidth="1"/>
    <col min="2" max="2" width="25.42578125" style="13" customWidth="1"/>
    <col min="3" max="3" width="26.28515625" customWidth="1"/>
  </cols>
  <sheetData>
    <row r="1" spans="1:3">
      <c r="A1" t="s">
        <v>109</v>
      </c>
      <c r="B1" s="13" t="s">
        <v>110</v>
      </c>
      <c r="C1" t="s">
        <v>111</v>
      </c>
    </row>
    <row r="2" spans="1:3">
      <c r="A2" t="s">
        <v>112</v>
      </c>
      <c r="B2" s="13">
        <v>31000</v>
      </c>
      <c r="C2" s="14">
        <f t="shared" ref="C2:C3" si="0">B2/12</f>
        <v>2583.3333333333335</v>
      </c>
    </row>
    <row r="3" spans="1:3">
      <c r="A3" t="s">
        <v>113</v>
      </c>
      <c r="B3" s="13">
        <v>3000</v>
      </c>
      <c r="C3" s="14">
        <f t="shared" si="0"/>
        <v>250</v>
      </c>
    </row>
    <row r="4" spans="1:3">
      <c r="A4" t="s">
        <v>114</v>
      </c>
      <c r="B4" s="13">
        <v>1700</v>
      </c>
      <c r="C4" s="13">
        <f>B4/12</f>
        <v>141.66666666666666</v>
      </c>
    </row>
    <row r="5" spans="1:3">
      <c r="A5" t="s">
        <v>57</v>
      </c>
      <c r="B5" s="13">
        <v>6000</v>
      </c>
      <c r="C5" s="13">
        <f>B5/12</f>
        <v>500</v>
      </c>
    </row>
    <row r="6" spans="1:3">
      <c r="A6" t="s">
        <v>85</v>
      </c>
      <c r="B6" s="13">
        <v>5000</v>
      </c>
      <c r="C6" s="13">
        <f>B6/12</f>
        <v>416.66666666666669</v>
      </c>
    </row>
    <row r="7" spans="1:3">
      <c r="A7" t="s">
        <v>115</v>
      </c>
      <c r="B7" s="13">
        <f>B2-B3-B4-B5-B6</f>
        <v>15300</v>
      </c>
      <c r="C7" s="13">
        <f>B7/12</f>
        <v>1275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5C95-163A-4ACC-81F9-785F703FB28B}">
  <dimension ref="A1:D21"/>
  <sheetViews>
    <sheetView tabSelected="1" workbookViewId="0">
      <selection activeCell="C21" sqref="C21"/>
    </sheetView>
  </sheetViews>
  <sheetFormatPr defaultRowHeight="15"/>
  <cols>
    <col min="1" max="1" width="26.85546875" customWidth="1"/>
    <col min="2" max="2" width="17" customWidth="1"/>
    <col min="3" max="3" width="25.42578125" style="13" customWidth="1"/>
    <col min="4" max="4" width="26.28515625" customWidth="1"/>
  </cols>
  <sheetData>
    <row r="1" spans="1:4">
      <c r="A1" t="s">
        <v>109</v>
      </c>
      <c r="B1" t="s">
        <v>116</v>
      </c>
      <c r="C1" s="13" t="s">
        <v>110</v>
      </c>
      <c r="D1" t="s">
        <v>111</v>
      </c>
    </row>
    <row r="2" spans="1:4">
      <c r="A2" t="s">
        <v>112</v>
      </c>
      <c r="B2" t="s">
        <v>117</v>
      </c>
      <c r="C2" s="13">
        <v>57000</v>
      </c>
      <c r="D2" s="14">
        <f t="shared" ref="D2:D3" si="0">C2/12</f>
        <v>4750</v>
      </c>
    </row>
    <row r="3" spans="1:4">
      <c r="A3" t="s">
        <v>118</v>
      </c>
      <c r="B3" t="s">
        <v>117</v>
      </c>
      <c r="C3" s="13">
        <v>9000</v>
      </c>
      <c r="D3" s="14">
        <f t="shared" si="0"/>
        <v>750</v>
      </c>
    </row>
    <row r="4" spans="1:4">
      <c r="A4" t="s">
        <v>114</v>
      </c>
      <c r="B4" t="s">
        <v>117</v>
      </c>
      <c r="C4" s="13">
        <v>1700</v>
      </c>
      <c r="D4" s="13">
        <f>C4/12</f>
        <v>141.66666666666666</v>
      </c>
    </row>
    <row r="5" spans="1:4">
      <c r="A5" t="s">
        <v>57</v>
      </c>
      <c r="B5" t="s">
        <v>117</v>
      </c>
      <c r="C5" s="13">
        <v>12000</v>
      </c>
      <c r="D5" s="13">
        <f>C5/12</f>
        <v>1000</v>
      </c>
    </row>
    <row r="6" spans="1:4">
      <c r="A6" t="s">
        <v>119</v>
      </c>
      <c r="B6" t="s">
        <v>120</v>
      </c>
      <c r="C6" s="13">
        <v>90</v>
      </c>
      <c r="D6" s="13">
        <f>C6/12</f>
        <v>7.5</v>
      </c>
    </row>
    <row r="7" spans="1:4">
      <c r="A7" t="s">
        <v>114</v>
      </c>
      <c r="B7" t="s">
        <v>120</v>
      </c>
      <c r="C7" s="13">
        <v>1700</v>
      </c>
      <c r="D7" s="13">
        <f>C7/12</f>
        <v>141.66666666666666</v>
      </c>
    </row>
    <row r="8" spans="1:4">
      <c r="A8" t="s">
        <v>57</v>
      </c>
      <c r="B8" t="s">
        <v>120</v>
      </c>
      <c r="C8" s="13">
        <v>10800</v>
      </c>
      <c r="D8" s="13">
        <f>C8/12</f>
        <v>900</v>
      </c>
    </row>
    <row r="9" spans="1:4">
      <c r="A9" t="s">
        <v>57</v>
      </c>
      <c r="B9" t="s">
        <v>121</v>
      </c>
      <c r="C9" s="13">
        <v>14400</v>
      </c>
      <c r="D9" s="13">
        <f>C9/12</f>
        <v>1200</v>
      </c>
    </row>
    <row r="10" spans="1:4">
      <c r="A10" t="s">
        <v>114</v>
      </c>
      <c r="B10" t="s">
        <v>121</v>
      </c>
      <c r="C10" s="13">
        <v>900</v>
      </c>
      <c r="D10" s="13">
        <f>C10/12</f>
        <v>75</v>
      </c>
    </row>
    <row r="11" spans="1:4">
      <c r="A11" t="s">
        <v>119</v>
      </c>
      <c r="B11" t="s">
        <v>121</v>
      </c>
      <c r="C11" s="13">
        <v>500</v>
      </c>
      <c r="D11" s="13">
        <f>C11/12</f>
        <v>41.666666666666664</v>
      </c>
    </row>
    <row r="12" spans="1:4">
      <c r="A12" t="s">
        <v>118</v>
      </c>
      <c r="B12" t="s">
        <v>120</v>
      </c>
      <c r="C12" s="13">
        <v>9000</v>
      </c>
      <c r="D12" s="14">
        <f t="shared" ref="D12:D13" si="1">C12/12</f>
        <v>750</v>
      </c>
    </row>
    <row r="13" spans="1:4">
      <c r="A13" t="s">
        <v>118</v>
      </c>
      <c r="B13" t="s">
        <v>121</v>
      </c>
      <c r="C13" s="13">
        <v>9000</v>
      </c>
      <c r="D13" s="14">
        <f t="shared" si="1"/>
        <v>750</v>
      </c>
    </row>
    <row r="14" spans="1:4">
      <c r="A14" t="s">
        <v>86</v>
      </c>
      <c r="B14" t="s">
        <v>117</v>
      </c>
      <c r="C14" s="13">
        <v>1000</v>
      </c>
      <c r="D14" s="13">
        <f>C14/12</f>
        <v>83.333333333333329</v>
      </c>
    </row>
    <row r="15" spans="1:4">
      <c r="A15" t="s">
        <v>86</v>
      </c>
      <c r="B15" t="s">
        <v>120</v>
      </c>
      <c r="C15" s="13">
        <v>1000</v>
      </c>
      <c r="D15" s="13">
        <f>C15/12</f>
        <v>83.333333333333329</v>
      </c>
    </row>
    <row r="16" spans="1:4">
      <c r="A16" t="s">
        <v>86</v>
      </c>
      <c r="B16" t="s">
        <v>121</v>
      </c>
      <c r="C16" s="13">
        <v>1000</v>
      </c>
      <c r="D16" s="13">
        <f>C16/12</f>
        <v>83.333333333333329</v>
      </c>
    </row>
    <row r="17" spans="1:4">
      <c r="A17" t="s">
        <v>122</v>
      </c>
      <c r="B17" t="s">
        <v>117</v>
      </c>
      <c r="C17" s="13">
        <v>10000</v>
      </c>
      <c r="D17" s="13">
        <f>C17/12</f>
        <v>833.33333333333337</v>
      </c>
    </row>
    <row r="18" spans="1:4">
      <c r="A18" t="s">
        <v>122</v>
      </c>
      <c r="B18" t="s">
        <v>120</v>
      </c>
      <c r="C18" s="13">
        <v>10000</v>
      </c>
      <c r="D18" s="13">
        <f>C18/12</f>
        <v>833.33333333333337</v>
      </c>
    </row>
    <row r="19" spans="1:4">
      <c r="A19" t="s">
        <v>122</v>
      </c>
      <c r="B19" t="s">
        <v>121</v>
      </c>
      <c r="C19" s="13">
        <v>10000</v>
      </c>
      <c r="D19" s="13">
        <f>C19/12</f>
        <v>833.33333333333337</v>
      </c>
    </row>
    <row r="20" spans="1:4">
      <c r="A20" t="s">
        <v>112</v>
      </c>
      <c r="B20" t="s">
        <v>120</v>
      </c>
      <c r="C20" s="13">
        <v>57000</v>
      </c>
      <c r="D20" s="13">
        <f>C20/12</f>
        <v>4750</v>
      </c>
    </row>
    <row r="21" spans="1:4">
      <c r="A21" t="s">
        <v>112</v>
      </c>
      <c r="B21" t="s">
        <v>121</v>
      </c>
      <c r="C21" s="13">
        <v>57000</v>
      </c>
      <c r="D21" s="13">
        <f>C21/12</f>
        <v>4750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2025-10-30T12:29:32Z</dcterms:created>
  <dcterms:modified xsi:type="dcterms:W3CDTF">2026-08-19T09:33:02Z</dcterms:modified>
  <cp:category/>
  <cp:contentStatus/>
</cp:coreProperties>
</file>