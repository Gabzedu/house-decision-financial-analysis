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8eb9676f6d6732/"/>
    </mc:Choice>
  </mc:AlternateContent>
  <xr:revisionPtr revIDLastSave="0" documentId="8_{5E4660A5-7503-48D6-93CF-E23BB9BAD873}" xr6:coauthVersionLast="47" xr6:coauthVersionMax="47" xr10:uidLastSave="{00000000-0000-0000-0000-000000000000}"/>
  <bookViews>
    <workbookView xWindow="0" yWindow="500" windowWidth="28800" windowHeight="16320" firstSheet="12" activeTab="12" xr2:uid="{AD04AE19-E668-8148-AF68-81575B7686D2}"/>
  </bookViews>
  <sheets>
    <sheet name="JANEIRO 24" sheetId="35" r:id="rId1"/>
    <sheet name="FEVEREIRO 24" sheetId="37" r:id="rId2"/>
    <sheet name="MARÇO 24" sheetId="38" r:id="rId3"/>
    <sheet name="ABRIL 24" sheetId="39" r:id="rId4"/>
    <sheet name="MAIO 24" sheetId="40" r:id="rId5"/>
    <sheet name="JUNHO 24" sheetId="41" r:id="rId6"/>
    <sheet name="JULHO 24" sheetId="42" r:id="rId7"/>
    <sheet name="AGOSTO 24" sheetId="43" r:id="rId8"/>
    <sheet name="SETEMBRO 24" sheetId="44" r:id="rId9"/>
    <sheet name="OUTUBRO 24" sheetId="45" r:id="rId10"/>
    <sheet name="NOVEMBRO 24" sheetId="47" r:id="rId11"/>
    <sheet name="DEZEMBRO 24" sheetId="46" r:id="rId12"/>
    <sheet name="OVERVIEW DESPESAS 2024" sheetId="36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6" l="1"/>
  <c r="F42" i="47"/>
  <c r="F43" i="47" s="1"/>
  <c r="F38" i="47"/>
  <c r="F39" i="47" s="1"/>
  <c r="F33" i="47"/>
  <c r="Y31" i="47"/>
  <c r="W31" i="47"/>
  <c r="U31" i="47"/>
  <c r="S31" i="47"/>
  <c r="S32" i="47" s="1"/>
  <c r="Q31" i="47"/>
  <c r="O31" i="47"/>
  <c r="L31" i="47"/>
  <c r="L32" i="47" s="1"/>
  <c r="L33" i="47" s="1"/>
  <c r="K28" i="47"/>
  <c r="K25" i="47"/>
  <c r="K31" i="47" s="1"/>
  <c r="K32" i="47" s="1"/>
  <c r="F24" i="47"/>
  <c r="F15" i="47"/>
  <c r="F9" i="47"/>
  <c r="F7" i="47"/>
  <c r="F6" i="47"/>
  <c r="F42" i="46"/>
  <c r="F43" i="46" s="1"/>
  <c r="F38" i="46"/>
  <c r="F39" i="46" s="1"/>
  <c r="F33" i="46"/>
  <c r="Y31" i="46"/>
  <c r="W31" i="46"/>
  <c r="U31" i="46"/>
  <c r="S31" i="46"/>
  <c r="S32" i="46" s="1"/>
  <c r="Q31" i="46"/>
  <c r="O31" i="46"/>
  <c r="L31" i="46"/>
  <c r="L32" i="46" s="1"/>
  <c r="L33" i="46" s="1"/>
  <c r="K28" i="46"/>
  <c r="K25" i="46"/>
  <c r="K31" i="46" s="1"/>
  <c r="K32" i="46" s="1"/>
  <c r="F24" i="46"/>
  <c r="F15" i="46"/>
  <c r="F9" i="46"/>
  <c r="F7" i="46"/>
  <c r="F6" i="46"/>
  <c r="F42" i="45"/>
  <c r="F43" i="45" s="1"/>
  <c r="F38" i="45"/>
  <c r="F39" i="45" s="1"/>
  <c r="F33" i="45"/>
  <c r="Y31" i="45"/>
  <c r="W31" i="45"/>
  <c r="U31" i="45"/>
  <c r="S31" i="45"/>
  <c r="S32" i="45" s="1"/>
  <c r="Q31" i="45"/>
  <c r="O31" i="45"/>
  <c r="L31" i="45"/>
  <c r="L32" i="45" s="1"/>
  <c r="L33" i="45" s="1"/>
  <c r="K28" i="45"/>
  <c r="K25" i="45"/>
  <c r="K31" i="45" s="1"/>
  <c r="K32" i="45" s="1"/>
  <c r="F24" i="45"/>
  <c r="F15" i="45"/>
  <c r="F9" i="45"/>
  <c r="F7" i="45"/>
  <c r="F6" i="45"/>
  <c r="F42" i="44"/>
  <c r="F43" i="44" s="1"/>
  <c r="F38" i="44"/>
  <c r="F39" i="44" s="1"/>
  <c r="F33" i="44"/>
  <c r="Y31" i="44"/>
  <c r="W31" i="44"/>
  <c r="U31" i="44"/>
  <c r="S31" i="44"/>
  <c r="S32" i="44" s="1"/>
  <c r="Q31" i="44"/>
  <c r="O31" i="44"/>
  <c r="L31" i="44"/>
  <c r="L32" i="44" s="1"/>
  <c r="L33" i="44" s="1"/>
  <c r="K28" i="44"/>
  <c r="K25" i="44"/>
  <c r="K31" i="44" s="1"/>
  <c r="K32" i="44" s="1"/>
  <c r="F24" i="44"/>
  <c r="F15" i="44"/>
  <c r="F9" i="44"/>
  <c r="F7" i="44"/>
  <c r="F6" i="44"/>
  <c r="F41" i="43"/>
  <c r="F42" i="43" s="1"/>
  <c r="F37" i="43"/>
  <c r="F38" i="43" s="1"/>
  <c r="F32" i="43"/>
  <c r="Y30" i="43"/>
  <c r="W30" i="43"/>
  <c r="U30" i="43"/>
  <c r="S30" i="43"/>
  <c r="S31" i="43" s="1"/>
  <c r="Q30" i="43"/>
  <c r="O30" i="43"/>
  <c r="L30" i="43"/>
  <c r="L31" i="43" s="1"/>
  <c r="L32" i="43" s="1"/>
  <c r="K27" i="43"/>
  <c r="K24" i="43"/>
  <c r="K30" i="43" s="1"/>
  <c r="K31" i="43" s="1"/>
  <c r="F23" i="43"/>
  <c r="F14" i="43"/>
  <c r="F8" i="43"/>
  <c r="F6" i="43"/>
  <c r="F5" i="43"/>
  <c r="E41" i="42"/>
  <c r="E42" i="42" s="1"/>
  <c r="E37" i="42"/>
  <c r="E38" i="42" s="1"/>
  <c r="E32" i="42"/>
  <c r="X30" i="42"/>
  <c r="V30" i="42"/>
  <c r="T30" i="42"/>
  <c r="R30" i="42"/>
  <c r="R31" i="42" s="1"/>
  <c r="P30" i="42"/>
  <c r="N30" i="42"/>
  <c r="K30" i="42"/>
  <c r="K31" i="42" s="1"/>
  <c r="K32" i="42" s="1"/>
  <c r="J27" i="42"/>
  <c r="J24" i="42"/>
  <c r="J30" i="42" s="1"/>
  <c r="J31" i="42" s="1"/>
  <c r="E23" i="42"/>
  <c r="E14" i="42"/>
  <c r="E8" i="42"/>
  <c r="E6" i="42"/>
  <c r="E5" i="42"/>
  <c r="F43" i="41"/>
  <c r="F44" i="41" s="1"/>
  <c r="F39" i="41"/>
  <c r="F40" i="41" s="1"/>
  <c r="F34" i="41"/>
  <c r="Y32" i="41"/>
  <c r="W32" i="41"/>
  <c r="U32" i="41"/>
  <c r="S32" i="41"/>
  <c r="S33" i="41" s="1"/>
  <c r="Q32" i="41"/>
  <c r="O32" i="41"/>
  <c r="L32" i="41"/>
  <c r="L33" i="41" s="1"/>
  <c r="L34" i="41" s="1"/>
  <c r="K29" i="41"/>
  <c r="K26" i="41"/>
  <c r="K32" i="41" s="1"/>
  <c r="K33" i="41" s="1"/>
  <c r="F25" i="41"/>
  <c r="F16" i="41"/>
  <c r="F10" i="41"/>
  <c r="F8" i="41"/>
  <c r="F7" i="41"/>
  <c r="F44" i="40"/>
  <c r="F45" i="40" s="1"/>
  <c r="F40" i="40"/>
  <c r="F41" i="40" s="1"/>
  <c r="F35" i="40"/>
  <c r="Y33" i="40"/>
  <c r="W33" i="40"/>
  <c r="U33" i="40"/>
  <c r="S33" i="40"/>
  <c r="S34" i="40" s="1"/>
  <c r="Q33" i="40"/>
  <c r="O33" i="40"/>
  <c r="L33" i="40"/>
  <c r="L34" i="40" s="1"/>
  <c r="L35" i="40" s="1"/>
  <c r="K30" i="40"/>
  <c r="K27" i="40"/>
  <c r="K33" i="40" s="1"/>
  <c r="K34" i="40" s="1"/>
  <c r="F26" i="40"/>
  <c r="F17" i="40"/>
  <c r="F11" i="40"/>
  <c r="F9" i="40"/>
  <c r="F8" i="40"/>
  <c r="F19" i="38"/>
  <c r="F44" i="39"/>
  <c r="F45" i="39" s="1"/>
  <c r="F40" i="39"/>
  <c r="F41" i="39" s="1"/>
  <c r="F35" i="39"/>
  <c r="Y33" i="39"/>
  <c r="K30" i="39" s="1"/>
  <c r="W33" i="39"/>
  <c r="U33" i="39"/>
  <c r="S33" i="39"/>
  <c r="Q33" i="39"/>
  <c r="O33" i="39"/>
  <c r="L33" i="39"/>
  <c r="L34" i="39" s="1"/>
  <c r="K27" i="39"/>
  <c r="F26" i="39"/>
  <c r="F17" i="39"/>
  <c r="D13" i="36"/>
  <c r="C3" i="36"/>
  <c r="F13" i="36"/>
  <c r="Z14" i="36"/>
  <c r="E5" i="36"/>
  <c r="N38" i="38"/>
  <c r="F43" i="38"/>
  <c r="F44" i="38" s="1"/>
  <c r="F39" i="38"/>
  <c r="F40" i="38" s="1"/>
  <c r="F34" i="38"/>
  <c r="Y32" i="38"/>
  <c r="K29" i="38" s="1"/>
  <c r="W32" i="38"/>
  <c r="U32" i="38"/>
  <c r="S32" i="38"/>
  <c r="Q32" i="38"/>
  <c r="O32" i="38"/>
  <c r="L32" i="38"/>
  <c r="K26" i="38"/>
  <c r="F25" i="38"/>
  <c r="F16" i="38"/>
  <c r="D41" i="37"/>
  <c r="D42" i="37"/>
  <c r="D37" i="37"/>
  <c r="D38" i="37"/>
  <c r="D32" i="37"/>
  <c r="W30" i="37"/>
  <c r="U30" i="37"/>
  <c r="S30" i="37"/>
  <c r="Q30" i="37"/>
  <c r="O30" i="37"/>
  <c r="M30" i="37"/>
  <c r="J30" i="37"/>
  <c r="I27" i="37"/>
  <c r="I24" i="37"/>
  <c r="I30" i="37" s="1"/>
  <c r="D23" i="37"/>
  <c r="D13" i="37"/>
  <c r="D14" i="37"/>
  <c r="W31" i="35"/>
  <c r="I28" i="35"/>
  <c r="D38" i="35"/>
  <c r="D39" i="35"/>
  <c r="H13" i="36"/>
  <c r="I3" i="36" s="1"/>
  <c r="J13" i="36"/>
  <c r="K12" i="36"/>
  <c r="L13" i="36"/>
  <c r="M5" i="36"/>
  <c r="N13" i="36"/>
  <c r="P13" i="36"/>
  <c r="R13" i="36"/>
  <c r="S10" i="36"/>
  <c r="T13" i="36"/>
  <c r="U9" i="36"/>
  <c r="V13" i="36"/>
  <c r="W8" i="36"/>
  <c r="X13" i="36"/>
  <c r="Y5" i="36"/>
  <c r="Z4" i="36"/>
  <c r="Z5" i="36"/>
  <c r="Z6" i="36"/>
  <c r="Z7" i="36"/>
  <c r="Z8" i="36"/>
  <c r="Z9" i="36"/>
  <c r="Z12" i="36"/>
  <c r="Z10" i="36"/>
  <c r="Z11" i="36"/>
  <c r="D42" i="35"/>
  <c r="D43" i="35"/>
  <c r="D14" i="35"/>
  <c r="D15" i="35"/>
  <c r="D33" i="35"/>
  <c r="D24" i="35"/>
  <c r="I25" i="35"/>
  <c r="I31" i="35" s="1"/>
  <c r="U31" i="35"/>
  <c r="S31" i="35"/>
  <c r="Q31" i="35"/>
  <c r="O31" i="35"/>
  <c r="M31" i="35"/>
  <c r="J31" i="35"/>
  <c r="Q32" i="35"/>
  <c r="D7" i="35"/>
  <c r="I6" i="36"/>
  <c r="W9" i="36"/>
  <c r="Y9" i="36"/>
  <c r="S9" i="36"/>
  <c r="Q4" i="36"/>
  <c r="C11" i="36"/>
  <c r="Z3" i="36"/>
  <c r="K6" i="36"/>
  <c r="M9" i="36"/>
  <c r="O8" i="36"/>
  <c r="Q11" i="36"/>
  <c r="Q3" i="36"/>
  <c r="M8" i="36"/>
  <c r="Q10" i="36"/>
  <c r="O11" i="36"/>
  <c r="I5" i="36"/>
  <c r="Q8" i="36"/>
  <c r="K9" i="36"/>
  <c r="G7" i="36"/>
  <c r="K5" i="36"/>
  <c r="M4" i="36"/>
  <c r="O7" i="36"/>
  <c r="G11" i="36"/>
  <c r="I12" i="36"/>
  <c r="O4" i="36"/>
  <c r="Q7" i="36"/>
  <c r="I9" i="36"/>
  <c r="K4" i="36"/>
  <c r="O3" i="36"/>
  <c r="Q6" i="36"/>
  <c r="G5" i="36"/>
  <c r="G9" i="36"/>
  <c r="M3" i="36"/>
  <c r="G6" i="36"/>
  <c r="K8" i="36"/>
  <c r="K3" i="36"/>
  <c r="M11" i="36"/>
  <c r="M7" i="36"/>
  <c r="O10" i="36"/>
  <c r="O6" i="36"/>
  <c r="Q12" i="36"/>
  <c r="Q5" i="36"/>
  <c r="I8" i="36"/>
  <c r="G8" i="36"/>
  <c r="I11" i="36"/>
  <c r="I7" i="36"/>
  <c r="K11" i="36"/>
  <c r="K7" i="36"/>
  <c r="M10" i="36"/>
  <c r="M6" i="36"/>
  <c r="O12" i="36"/>
  <c r="O5" i="36"/>
  <c r="Q9" i="36"/>
  <c r="G10" i="36"/>
  <c r="G12" i="36"/>
  <c r="I4" i="36"/>
  <c r="G4" i="36"/>
  <c r="G3" i="36"/>
  <c r="I10" i="36"/>
  <c r="K10" i="36"/>
  <c r="M12" i="36"/>
  <c r="O9" i="36"/>
  <c r="W11" i="36"/>
  <c r="Y11" i="36"/>
  <c r="S8" i="36"/>
  <c r="W10" i="36"/>
  <c r="S11" i="36"/>
  <c r="S3" i="36"/>
  <c r="U10" i="36"/>
  <c r="S5" i="36"/>
  <c r="S6" i="36"/>
  <c r="S4" i="36"/>
  <c r="S7" i="36"/>
  <c r="S12" i="36"/>
  <c r="W12" i="36"/>
  <c r="U3" i="36"/>
  <c r="Y4" i="36"/>
  <c r="W7" i="36"/>
  <c r="Y12" i="36"/>
  <c r="Y8" i="36"/>
  <c r="U11" i="36"/>
  <c r="U7" i="36"/>
  <c r="Y10" i="36"/>
  <c r="U5" i="36"/>
  <c r="W6" i="36"/>
  <c r="Y7" i="36"/>
  <c r="W4" i="36"/>
  <c r="W3" i="36"/>
  <c r="Y3" i="36"/>
  <c r="W5" i="36"/>
  <c r="Y6" i="36"/>
  <c r="U8" i="36"/>
  <c r="U4" i="36"/>
  <c r="U12" i="36"/>
  <c r="U6" i="36"/>
  <c r="D44" i="35"/>
  <c r="J32" i="35"/>
  <c r="D6" i="35"/>
  <c r="D8" i="35"/>
  <c r="J33" i="35"/>
  <c r="C5" i="36"/>
  <c r="C12" i="36"/>
  <c r="C7" i="36"/>
  <c r="C9" i="36"/>
  <c r="C8" i="36"/>
  <c r="C10" i="36"/>
  <c r="C4" i="36"/>
  <c r="C6" i="36"/>
  <c r="F8" i="47" l="1"/>
  <c r="F44" i="47"/>
  <c r="F8" i="46"/>
  <c r="F44" i="46"/>
  <c r="F8" i="45"/>
  <c r="F44" i="45"/>
  <c r="F8" i="44"/>
  <c r="F44" i="44"/>
  <c r="F7" i="43"/>
  <c r="F43" i="43"/>
  <c r="E7" i="42"/>
  <c r="E43" i="42"/>
  <c r="F9" i="41"/>
  <c r="F45" i="41"/>
  <c r="F10" i="40"/>
  <c r="F46" i="40"/>
  <c r="I32" i="35"/>
  <c r="D9" i="35" s="1"/>
  <c r="J31" i="37"/>
  <c r="Q31" i="37"/>
  <c r="D6" i="37" s="1"/>
  <c r="D43" i="37"/>
  <c r="F46" i="39"/>
  <c r="S34" i="39"/>
  <c r="F9" i="39" s="1"/>
  <c r="K33" i="39"/>
  <c r="F8" i="39"/>
  <c r="E9" i="36"/>
  <c r="E3" i="36"/>
  <c r="E10" i="36"/>
  <c r="E11" i="36"/>
  <c r="E12" i="36"/>
  <c r="E6" i="36"/>
  <c r="Z13" i="36"/>
  <c r="AA6" i="36" s="1"/>
  <c r="E7" i="36"/>
  <c r="E4" i="36"/>
  <c r="E8" i="36"/>
  <c r="K32" i="38"/>
  <c r="S33" i="38"/>
  <c r="F8" i="38" s="1"/>
  <c r="L33" i="38"/>
  <c r="F7" i="38" s="1"/>
  <c r="F45" i="38"/>
  <c r="D5" i="37"/>
  <c r="D7" i="37" s="1"/>
  <c r="J32" i="37"/>
  <c r="I31" i="37" s="1"/>
  <c r="D8" i="37" s="1"/>
  <c r="F10" i="39" l="1"/>
  <c r="L35" i="39"/>
  <c r="K34" i="39" s="1"/>
  <c r="F11" i="39" s="1"/>
  <c r="AA7" i="36"/>
  <c r="AA5" i="36"/>
  <c r="AA10" i="36"/>
  <c r="AA4" i="36"/>
  <c r="AA8" i="36"/>
  <c r="AA9" i="36"/>
  <c r="AA12" i="36"/>
  <c r="AA3" i="36"/>
  <c r="AA11" i="36"/>
  <c r="F9" i="38"/>
  <c r="L34" i="38"/>
  <c r="K33" i="38" s="1"/>
  <c r="F10" i="38" s="1"/>
</calcChain>
</file>

<file path=xl/sharedStrings.xml><?xml version="1.0" encoding="utf-8"?>
<sst xmlns="http://schemas.openxmlformats.org/spreadsheetml/2006/main" count="1506" uniqueCount="385">
  <si>
    <t>GERAL ESTE MÊS</t>
  </si>
  <si>
    <t>JANEIRO (29\12 - 01\02)</t>
  </si>
  <si>
    <t>LEGENDAS</t>
  </si>
  <si>
    <t>FIXOS</t>
  </si>
  <si>
    <t>RECEBIMENTOS</t>
  </si>
  <si>
    <t>BILLS</t>
  </si>
  <si>
    <t xml:space="preserve">HOME FORNITURE </t>
  </si>
  <si>
    <t>SUPER MERCADO</t>
  </si>
  <si>
    <t>OUT</t>
  </si>
  <si>
    <t>PARA MIM</t>
  </si>
  <si>
    <t>ETC</t>
  </si>
  <si>
    <t>WORK (trading)</t>
  </si>
  <si>
    <t>Renda; despesas de casa; telemovel e internet; saude; despesas com o carro, arranjos</t>
  </si>
  <si>
    <t>GERAIS</t>
  </si>
  <si>
    <t>data</t>
  </si>
  <si>
    <t>WHAT</t>
  </si>
  <si>
    <t>€</t>
  </si>
  <si>
    <t>descrição</t>
  </si>
  <si>
    <t>HOME FURNITURE</t>
  </si>
  <si>
    <t>Decoração de casa, ou furniture</t>
  </si>
  <si>
    <t>TOTAL</t>
  </si>
  <si>
    <t>Mês Anterior</t>
  </si>
  <si>
    <t>29\12</t>
  </si>
  <si>
    <t xml:space="preserve">Renda casa </t>
  </si>
  <si>
    <t xml:space="preserve">Pernas mesa do escritorio </t>
  </si>
  <si>
    <t>Bali comida</t>
  </si>
  <si>
    <t xml:space="preserve">PDA Adega </t>
  </si>
  <si>
    <t>Meias \ cuecas (dunes)</t>
  </si>
  <si>
    <t>Voo Faro</t>
  </si>
  <si>
    <t>Fusion</t>
  </si>
  <si>
    <t xml:space="preserve">Tudo o que é comida ou compras de super </t>
  </si>
  <si>
    <t>REVOLUT</t>
  </si>
  <si>
    <t>4\1</t>
  </si>
  <si>
    <t>Week 1 (tesco)</t>
  </si>
  <si>
    <t xml:space="preserve">Electricidade - deram-nos 150 euros </t>
  </si>
  <si>
    <t>parafusos oara a mesa</t>
  </si>
  <si>
    <t>Higiene produtos</t>
  </si>
  <si>
    <t>Chinês no trabalho</t>
  </si>
  <si>
    <t xml:space="preserve">Blush </t>
  </si>
  <si>
    <t>prenda de anos Carlos</t>
  </si>
  <si>
    <t>FTMO</t>
  </si>
  <si>
    <t>TABACO, cafés (fora de casa), bares, cervejas (fora de casa), RESTAURANTES</t>
  </si>
  <si>
    <t>11\1</t>
  </si>
  <si>
    <t>Week 2 (tesco)</t>
  </si>
  <si>
    <t>lixo (pack de 4)</t>
  </si>
  <si>
    <t>Compra grande tesco do mês</t>
  </si>
  <si>
    <t xml:space="preserve">wrap </t>
  </si>
  <si>
    <t xml:space="preserve">Jogo ipad </t>
  </si>
  <si>
    <t>CGD manutenção de conta</t>
  </si>
  <si>
    <t>MIM</t>
  </si>
  <si>
    <t>Roupa; livros; coisas para mim</t>
  </si>
  <si>
    <t>18\1</t>
  </si>
  <si>
    <t>Week 3 (tesco)</t>
  </si>
  <si>
    <t>6\1</t>
  </si>
  <si>
    <t>Internet - todos os meses dia 3</t>
  </si>
  <si>
    <t>Tabaco (para enrrolar)</t>
  </si>
  <si>
    <t>Car park</t>
  </si>
  <si>
    <t>Coisas extras que não entram nestas categorias, prendas, etc</t>
  </si>
  <si>
    <t>FUNDO DE URGÊNCIA</t>
  </si>
  <si>
    <t>25\1</t>
  </si>
  <si>
    <t>Week 4 (tesco)</t>
  </si>
  <si>
    <t>15\1</t>
  </si>
  <si>
    <t xml:space="preserve">Diesel </t>
  </si>
  <si>
    <t xml:space="preserve">Maquina no trabalho </t>
  </si>
  <si>
    <t>Manutenção conta (onde estou a receber o ordenado)</t>
  </si>
  <si>
    <t>WORK</t>
  </si>
  <si>
    <t xml:space="preserve">Dinheiro para trading \ despesas de trading \ dinheiro que invisto </t>
  </si>
  <si>
    <t>Desde o mês passado</t>
  </si>
  <si>
    <t xml:space="preserve">Secar roupa </t>
  </si>
  <si>
    <t xml:space="preserve">erva </t>
  </si>
  <si>
    <t>Este mês</t>
  </si>
  <si>
    <t>19\1</t>
  </si>
  <si>
    <t>despesas de carro (oléo e liquido de refrigeração)</t>
  </si>
  <si>
    <t xml:space="preserve">sushi casa friends </t>
  </si>
  <si>
    <t xml:space="preserve">NS </t>
  </si>
  <si>
    <t>22\1</t>
  </si>
  <si>
    <t>Maquina trabalho</t>
  </si>
  <si>
    <t>Start</t>
  </si>
  <si>
    <t xml:space="preserve">FUSION </t>
  </si>
  <si>
    <t>FUNDO DE EMERGÊNCIA</t>
  </si>
  <si>
    <t>DOAR</t>
  </si>
  <si>
    <t>PLANOS CARLOS 5 ANOS</t>
  </si>
  <si>
    <t>PLANOS CARLOS 1 ANO</t>
  </si>
  <si>
    <t>P \ GASTAR</t>
  </si>
  <si>
    <t>PLANOS COM O CARLOS</t>
  </si>
  <si>
    <t xml:space="preserve">PLANO 5 ANOS </t>
  </si>
  <si>
    <t>PLANO 1 ANO</t>
  </si>
  <si>
    <t>FEVEREIRO (01\2 - 29\02)</t>
  </si>
  <si>
    <t>1\2</t>
  </si>
  <si>
    <t>máquina no trabalho</t>
  </si>
  <si>
    <t xml:space="preserve">Escova electrica </t>
  </si>
  <si>
    <t>produto para os olhos</t>
  </si>
  <si>
    <t>Week 5 (tesco)</t>
  </si>
  <si>
    <t>Electricidade</t>
  </si>
  <si>
    <t>Sushi casa Friends</t>
  </si>
  <si>
    <t xml:space="preserve">Fones com fios </t>
  </si>
  <si>
    <t xml:space="preserve">Bus Waterford - Dublin </t>
  </si>
  <si>
    <t>8\2</t>
  </si>
  <si>
    <t>Week 6 (tesco)</t>
  </si>
  <si>
    <t xml:space="preserve">Batom Mac </t>
  </si>
  <si>
    <t xml:space="preserve">Uber </t>
  </si>
  <si>
    <t>15\2</t>
  </si>
  <si>
    <t>Week 7 (tesco)</t>
  </si>
  <si>
    <t xml:space="preserve">Internet </t>
  </si>
  <si>
    <t xml:space="preserve">Sair Portugal </t>
  </si>
  <si>
    <t xml:space="preserve">Vitaminas farmácia </t>
  </si>
  <si>
    <t xml:space="preserve">Comprimidos </t>
  </si>
  <si>
    <t>22\2</t>
  </si>
  <si>
    <t>Week 8 (tesco)</t>
  </si>
  <si>
    <t>3\2</t>
  </si>
  <si>
    <t>Pull and bear</t>
  </si>
  <si>
    <t xml:space="preserve">Caravana </t>
  </si>
  <si>
    <t>29\2</t>
  </si>
  <si>
    <t>Week 9 (tesco)</t>
  </si>
  <si>
    <t>17\2</t>
  </si>
  <si>
    <t xml:space="preserve">Bus para Waterford </t>
  </si>
  <si>
    <t>Mecânico carro (colocar oleo, maçaneta da porta)</t>
  </si>
  <si>
    <t>Combustivel caravana em PT</t>
  </si>
  <si>
    <t>Mecânico carro</t>
  </si>
  <si>
    <t>7 e meio</t>
  </si>
  <si>
    <t xml:space="preserve">Jantar com pais do Carlos </t>
  </si>
  <si>
    <t>Jantar em portimão com pai carlos</t>
  </si>
  <si>
    <t>NS</t>
  </si>
  <si>
    <t>MARÇO (01\3 - 26\3)</t>
  </si>
  <si>
    <t>1\3</t>
  </si>
  <si>
    <t>Máquina no trabalho</t>
  </si>
  <si>
    <t>Meditações IAWAKE</t>
  </si>
  <si>
    <t>Viagem de levar carro para portugal para a inspeção</t>
  </si>
  <si>
    <t>7\3</t>
  </si>
  <si>
    <t>Tesco (week 10)</t>
  </si>
  <si>
    <t xml:space="preserve">Mr Price </t>
  </si>
  <si>
    <t xml:space="preserve">Boneco aniversário vizinha </t>
  </si>
  <si>
    <t>Tesco (week 11)</t>
  </si>
  <si>
    <t>cuecas e meias</t>
  </si>
  <si>
    <t xml:space="preserve">Madeira </t>
  </si>
  <si>
    <t xml:space="preserve">Monitor </t>
  </si>
  <si>
    <t>21\3</t>
  </si>
  <si>
    <t>Tesco (week 12)</t>
  </si>
  <si>
    <t>cervejas londys (dividi com o carlos - mas foi para acertar as contas)</t>
  </si>
  <si>
    <t>sutian \ ganchos cabelo</t>
  </si>
  <si>
    <t>Conta onde recebo o ordernado</t>
  </si>
  <si>
    <t xml:space="preserve">Parallels </t>
  </si>
  <si>
    <t>Café na baixa</t>
  </si>
  <si>
    <t>Caderno A4</t>
  </si>
  <si>
    <t>brinquedo Bali</t>
  </si>
  <si>
    <t xml:space="preserve">Forex tester </t>
  </si>
  <si>
    <t>19\3</t>
  </si>
  <si>
    <t>Almoço em Dublin</t>
  </si>
  <si>
    <t>colunas pc carlos</t>
  </si>
  <si>
    <t>Pneus carro</t>
  </si>
  <si>
    <t>Jantar dublin</t>
  </si>
  <si>
    <t xml:space="preserve">Seguro anual do carro </t>
  </si>
  <si>
    <t>Pasteis dublin</t>
  </si>
  <si>
    <t>23\3</t>
  </si>
  <si>
    <t>Internet (para pagar dia 3 de Abril)</t>
  </si>
  <si>
    <t>park em dublin</t>
  </si>
  <si>
    <t>Piadina almoço Carlos</t>
  </si>
  <si>
    <t>Start - conta de 10.000</t>
  </si>
  <si>
    <t xml:space="preserve">Gastos extra deste mês </t>
  </si>
  <si>
    <t>carro</t>
  </si>
  <si>
    <t>ABRIL (26\3- 27\4)</t>
  </si>
  <si>
    <t>26\3</t>
  </si>
  <si>
    <t xml:space="preserve">Air Fryer </t>
  </si>
  <si>
    <t xml:space="preserve">compras de comida para almoço casa de amigos </t>
  </si>
  <si>
    <t xml:space="preserve">gym </t>
  </si>
  <si>
    <t>prenda Leo</t>
  </si>
  <si>
    <t>Tirei do fundo de emergência</t>
  </si>
  <si>
    <t>15\4</t>
  </si>
  <si>
    <t xml:space="preserve">mandámos vir pizza para casa </t>
  </si>
  <si>
    <t xml:space="preserve">pixi tonner </t>
  </si>
  <si>
    <t>chocolates prenda para pt</t>
  </si>
  <si>
    <t xml:space="preserve">pai para a viajem </t>
  </si>
  <si>
    <t>sushi</t>
  </si>
  <si>
    <t xml:space="preserve">Note portugal canetas </t>
  </si>
  <si>
    <t xml:space="preserve">cerveja e tabaco </t>
  </si>
  <si>
    <t xml:space="preserve">leggins oysho </t>
  </si>
  <si>
    <t xml:space="preserve">comida para campismo </t>
  </si>
  <si>
    <t>14\4</t>
  </si>
  <si>
    <t xml:space="preserve">pringles no avião </t>
  </si>
  <si>
    <t xml:space="preserve">Catita Portugal </t>
  </si>
  <si>
    <t xml:space="preserve">mcdonalds </t>
  </si>
  <si>
    <t>coisas maquilhagem</t>
  </si>
  <si>
    <t xml:space="preserve">Parque de campismo monte gordo </t>
  </si>
  <si>
    <t xml:space="preserve">cervejas no café com amigos portugal </t>
  </si>
  <si>
    <t xml:space="preserve">Parque de campismo monte gordo combustível </t>
  </si>
  <si>
    <t xml:space="preserve">tabaco </t>
  </si>
  <si>
    <t>oleo cabelo</t>
  </si>
  <si>
    <t>Pvs</t>
  </si>
  <si>
    <t>Pombo</t>
  </si>
  <si>
    <t>verniz unhas</t>
  </si>
  <si>
    <t xml:space="preserve">bus de dublin para waterford </t>
  </si>
  <si>
    <t>almoço dublin</t>
  </si>
  <si>
    <t>almoço américo olhao</t>
  </si>
  <si>
    <t>água em dublin</t>
  </si>
  <si>
    <t>café aeroporto</t>
  </si>
  <si>
    <t>MAIO (27\4- 27\5)</t>
  </si>
  <si>
    <t xml:space="preserve">portagens portugal </t>
  </si>
  <si>
    <t>27\4</t>
  </si>
  <si>
    <t xml:space="preserve">máquina </t>
  </si>
  <si>
    <t xml:space="preserve">exfoliante cara </t>
  </si>
  <si>
    <t>manutenção conta CGD</t>
  </si>
  <si>
    <t xml:space="preserve">Supermacs, comer fora </t>
  </si>
  <si>
    <t>1\5</t>
  </si>
  <si>
    <t>Adega Bar</t>
  </si>
  <si>
    <t>Canvas</t>
  </si>
  <si>
    <t>tesco</t>
  </si>
  <si>
    <t xml:space="preserve">uber </t>
  </si>
  <si>
    <t>10\5</t>
  </si>
  <si>
    <t>Electrecidade</t>
  </si>
  <si>
    <t>ganza</t>
  </si>
  <si>
    <t>15\5</t>
  </si>
  <si>
    <t xml:space="preserve">dinheiro que devia ao Carlos, foi comida e coisas que gastámos juntos </t>
  </si>
  <si>
    <t>JUNHO (28\5- 28\6)</t>
  </si>
  <si>
    <t>28\5</t>
  </si>
  <si>
    <t>remédio (fiquei doente)</t>
  </si>
  <si>
    <t>Tirei das poupanças com o Carlos</t>
  </si>
  <si>
    <t>luz</t>
  </si>
  <si>
    <t>verniz, batom</t>
  </si>
  <si>
    <t>car park</t>
  </si>
  <si>
    <t>10\6</t>
  </si>
  <si>
    <t xml:space="preserve">Zanzibar </t>
  </si>
  <si>
    <t>internet</t>
  </si>
  <si>
    <t>creme</t>
  </si>
  <si>
    <t>dinheiro que devia ao Carlos e paguei pelo mês de Maio</t>
  </si>
  <si>
    <t>18\6</t>
  </si>
  <si>
    <t>26\6</t>
  </si>
  <si>
    <t>comida bali</t>
  </si>
  <si>
    <t>JULHO (28\6- 28\7)</t>
  </si>
  <si>
    <t>Renda da casa</t>
  </si>
  <si>
    <t>blender</t>
  </si>
  <si>
    <t>3\7</t>
  </si>
  <si>
    <t>Luz (mês passado - dinheiro que devia ao Carlos)</t>
  </si>
  <si>
    <t>caderno</t>
  </si>
  <si>
    <t>dinheiro que recebi atrasado do Tesco (ficou retido)</t>
  </si>
  <si>
    <t>Internet</t>
  </si>
  <si>
    <t xml:space="preserve">paper cigarret </t>
  </si>
  <si>
    <t>roupas</t>
  </si>
  <si>
    <t>Prenda sobrinho Miguel</t>
  </si>
  <si>
    <t>10\7</t>
  </si>
  <si>
    <t>Diesel</t>
  </si>
  <si>
    <t xml:space="preserve">comemos pizza </t>
  </si>
  <si>
    <t xml:space="preserve">multa de estacionamento </t>
  </si>
  <si>
    <t>15\7</t>
  </si>
  <si>
    <t>Caio</t>
  </si>
  <si>
    <t>20\7</t>
  </si>
  <si>
    <t>17\7</t>
  </si>
  <si>
    <t>22\7</t>
  </si>
  <si>
    <t xml:space="preserve">Luz </t>
  </si>
  <si>
    <t>24\7</t>
  </si>
  <si>
    <t>TENHO EM CASH</t>
  </si>
  <si>
    <t>AGOSTO (28\7 ATÉ 28\8)</t>
  </si>
  <si>
    <t>cesto verga</t>
  </si>
  <si>
    <t xml:space="preserve">sapatilhas + leggins </t>
  </si>
  <si>
    <t>31\7</t>
  </si>
  <si>
    <t>Luz</t>
  </si>
  <si>
    <t xml:space="preserve">almofadas sofá </t>
  </si>
  <si>
    <t xml:space="preserve">café </t>
  </si>
  <si>
    <t xml:space="preserve">roupa </t>
  </si>
  <si>
    <t xml:space="preserve">teste gravidez </t>
  </si>
  <si>
    <t>Temu</t>
  </si>
  <si>
    <t xml:space="preserve">ganza </t>
  </si>
  <si>
    <t>calças fato-treino</t>
  </si>
  <si>
    <t>roupa Carlos</t>
  </si>
  <si>
    <t>7\8</t>
  </si>
  <si>
    <t xml:space="preserve">cabides </t>
  </si>
  <si>
    <t xml:space="preserve">sports direct </t>
  </si>
  <si>
    <t xml:space="preserve">bilhete Portugal </t>
  </si>
  <si>
    <t xml:space="preserve">piadina </t>
  </si>
  <si>
    <t xml:space="preserve">primark </t>
  </si>
  <si>
    <t xml:space="preserve">car pariking </t>
  </si>
  <si>
    <t>14\8</t>
  </si>
  <si>
    <t xml:space="preserve">Zanibar </t>
  </si>
  <si>
    <t xml:space="preserve">Caio </t>
  </si>
  <si>
    <t>21\8</t>
  </si>
  <si>
    <t>28\8</t>
  </si>
  <si>
    <t>comida Bali</t>
  </si>
  <si>
    <t>bali</t>
  </si>
  <si>
    <t>SETEMBRO (28\8 - 28\9)</t>
  </si>
  <si>
    <t xml:space="preserve">coisas escritório + cabides </t>
  </si>
  <si>
    <t>4\9</t>
  </si>
  <si>
    <t>20\09</t>
  </si>
  <si>
    <t xml:space="preserve">PORTUGAL gelvi </t>
  </si>
  <si>
    <t>sports direct</t>
  </si>
  <si>
    <t>PORTUGAL Auchan</t>
  </si>
  <si>
    <t xml:space="preserve">blush elf </t>
  </si>
  <si>
    <t>11\9</t>
  </si>
  <si>
    <t>PORTUGAL noite</t>
  </si>
  <si>
    <t xml:space="preserve">batom </t>
  </si>
  <si>
    <t>PORTUGAL compras</t>
  </si>
  <si>
    <t xml:space="preserve">mala para Portugal </t>
  </si>
  <si>
    <t>TFI</t>
  </si>
  <si>
    <t>25\9</t>
  </si>
  <si>
    <t>PORTUGAL</t>
  </si>
  <si>
    <t>Wow cabelo</t>
  </si>
  <si>
    <t xml:space="preserve">brincos </t>
  </si>
  <si>
    <t>Autocarro \ uber</t>
  </si>
  <si>
    <t>farmácia</t>
  </si>
  <si>
    <t>pvs</t>
  </si>
  <si>
    <t>OUTUBRO (28\9 - 28\10)</t>
  </si>
  <si>
    <t xml:space="preserve">mini printer </t>
  </si>
  <si>
    <t>W40</t>
  </si>
  <si>
    <t>17 \ 10</t>
  </si>
  <si>
    <t xml:space="preserve">Mexicano </t>
  </si>
  <si>
    <t xml:space="preserve">livro harry potter </t>
  </si>
  <si>
    <t>imposto CGD</t>
  </si>
  <si>
    <t xml:space="preserve">Férias Portugal </t>
  </si>
  <si>
    <t xml:space="preserve">pacote de nasdaq trading view </t>
  </si>
  <si>
    <t>W41</t>
  </si>
  <si>
    <t>W42</t>
  </si>
  <si>
    <t xml:space="preserve">linhas para cozer </t>
  </si>
  <si>
    <t>W43</t>
  </si>
  <si>
    <t xml:space="preserve">car park </t>
  </si>
  <si>
    <t xml:space="preserve">multa carro </t>
  </si>
  <si>
    <t>ração Bali (26\10)</t>
  </si>
  <si>
    <t>cash</t>
  </si>
  <si>
    <t>CGD</t>
  </si>
  <si>
    <t>NOVEMBRO (28\10 - 28\11)</t>
  </si>
  <si>
    <t>tabaco</t>
  </si>
  <si>
    <t>Nasdaq real time</t>
  </si>
  <si>
    <t>Luz (ofereceranm luz este mês)</t>
  </si>
  <si>
    <t>grelhador</t>
  </si>
  <si>
    <t>comer centra</t>
  </si>
  <si>
    <t xml:space="preserve">Caderno </t>
  </si>
  <si>
    <t>balões para Caio</t>
  </si>
  <si>
    <t>FX replay (backtesting)</t>
  </si>
  <si>
    <t>pizza</t>
  </si>
  <si>
    <t xml:space="preserve">meias de vidro pretas + casaco </t>
  </si>
  <si>
    <t>W44</t>
  </si>
  <si>
    <t>Shein</t>
  </si>
  <si>
    <t xml:space="preserve">peixe assado </t>
  </si>
  <si>
    <t>verniz</t>
  </si>
  <si>
    <t>lidl</t>
  </si>
  <si>
    <t>W45</t>
  </si>
  <si>
    <t>Tesco</t>
  </si>
  <si>
    <t xml:space="preserve">Cove - comer fora </t>
  </si>
  <si>
    <t xml:space="preserve">mandamos vir comida </t>
  </si>
  <si>
    <t>W46</t>
  </si>
  <si>
    <t xml:space="preserve">produto bolor + plantas </t>
  </si>
  <si>
    <t xml:space="preserve">achei no chão </t>
  </si>
  <si>
    <t>temu</t>
  </si>
  <si>
    <t>W47</t>
  </si>
  <si>
    <t>Bali Vet</t>
  </si>
  <si>
    <t>suporte TV</t>
  </si>
  <si>
    <t>férias amesterdão (janeiro)</t>
  </si>
  <si>
    <t>Cash</t>
  </si>
  <si>
    <t>DEZEMBRO (28\11 - 28\12)</t>
  </si>
  <si>
    <t>Douradas em casa</t>
  </si>
  <si>
    <t>prenda davi e mafalda natal</t>
  </si>
  <si>
    <t>Tips</t>
  </si>
  <si>
    <t xml:space="preserve">home base pot </t>
  </si>
  <si>
    <t>beber no bar</t>
  </si>
  <si>
    <t>prendas natal (irlanda)</t>
  </si>
  <si>
    <t>Trading view premium</t>
  </si>
  <si>
    <t>Tábua com jogos para a sala</t>
  </si>
  <si>
    <t xml:space="preserve">comer fora com os meus pais </t>
  </si>
  <si>
    <t>prendas de natal (portugal)</t>
  </si>
  <si>
    <t>Fx replay</t>
  </si>
  <si>
    <t>IUC carro</t>
  </si>
  <si>
    <t>Nasdaq tempo real</t>
  </si>
  <si>
    <t xml:space="preserve">prenda Carlos Ibiza </t>
  </si>
  <si>
    <t>BI</t>
  </si>
  <si>
    <t>cabinet wc</t>
  </si>
  <si>
    <t>jogos</t>
  </si>
  <si>
    <t>Comida Bali</t>
  </si>
  <si>
    <t>prenda pedro</t>
  </si>
  <si>
    <t xml:space="preserve">manta </t>
  </si>
  <si>
    <t xml:space="preserve">prenda de aniversário Pais </t>
  </si>
  <si>
    <t xml:space="preserve">cama primark </t>
  </si>
  <si>
    <t xml:space="preserve">Cash 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</si>
  <si>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</si>
  <si>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</si>
  <si>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</si>
  <si>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</si>
  <si>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</si>
  <si>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</si>
  <si>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</si>
  <si>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</si>
  <si>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</si>
  <si>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</si>
  <si>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</si>
  <si>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</si>
  <si>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 xml:space="preserve">ANUAL </t>
  </si>
  <si>
    <t xml:space="preserve">Total </t>
  </si>
  <si>
    <t>% das despesas</t>
  </si>
  <si>
    <t>WORK (TRADING)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</si>
</sst>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)\ &quot;€&quot;_ ;_ * \(#,##0.00\)\ &quot;€&quot;_ ;_ * &quot;-&quot;??_)\ &quot;€&quot;_ ;_ @_ "/>
    <numFmt numFmtId="165" formatCode="#,##0.00\ &quot;€&quot;"/>
  </numFmts>
  <fonts count="1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4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D8E2F4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 style="thick">
        <color rgb="FF000000"/>
      </right>
      <top style="medium">
        <color indexed="64"/>
      </top>
      <bottom/>
      <diagonal/>
    </border>
    <border>
      <left style="thick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50505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ck">
        <color indexed="64"/>
      </right>
      <top style="thin">
        <color auto="1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3">
    <xf numFmtId="0" fontId="0" fillId="0" borderId="0"/>
    <xf numFmtId="0" fontId="5" fillId="0" borderId="0"/>
    <xf numFmtId="9" fontId="5" fillId="0" borderId="0" applyFont="0" applyFill="0" applyBorder="0" applyAlignment="0" applyProtection="0"/>
  </cellStyleXfs>
  <cellXfs count="243">
    <xf numFmtId="0" fontId="0" fillId="0" borderId="0" xfId="0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165" fontId="3" fillId="0" borderId="0" xfId="0" applyNumberFormat="1" applyFont="1"/>
    <xf numFmtId="165" fontId="3" fillId="0" borderId="7" xfId="0" applyNumberFormat="1" applyFont="1" applyBorder="1"/>
    <xf numFmtId="165" fontId="3" fillId="0" borderId="0" xfId="0" applyNumberFormat="1" applyFont="1" applyAlignment="1">
      <alignment horizontal="right"/>
    </xf>
    <xf numFmtId="165" fontId="2" fillId="0" borderId="13" xfId="0" applyNumberFormat="1" applyFont="1" applyBorder="1" applyAlignment="1">
      <alignment horizontal="center"/>
    </xf>
    <xf numFmtId="0" fontId="3" fillId="0" borderId="7" xfId="0" applyFont="1" applyBorder="1"/>
    <xf numFmtId="0" fontId="3" fillId="0" borderId="13" xfId="0" applyFont="1" applyBorder="1"/>
    <xf numFmtId="165" fontId="3" fillId="0" borderId="8" xfId="0" applyNumberFormat="1" applyFont="1" applyBorder="1"/>
    <xf numFmtId="165" fontId="3" fillId="0" borderId="14" xfId="0" applyNumberFormat="1" applyFont="1" applyBorder="1"/>
    <xf numFmtId="0" fontId="3" fillId="0" borderId="0" xfId="0" applyFont="1" applyAlignment="1">
      <alignment horizontal="right"/>
    </xf>
    <xf numFmtId="165" fontId="3" fillId="0" borderId="13" xfId="0" applyNumberFormat="1" applyFont="1" applyBorder="1"/>
    <xf numFmtId="164" fontId="3" fillId="0" borderId="0" xfId="0" applyNumberFormat="1" applyFont="1" applyAlignment="1">
      <alignment horizontal="right"/>
    </xf>
    <xf numFmtId="164" fontId="3" fillId="0" borderId="0" xfId="0" applyNumberFormat="1" applyFont="1"/>
    <xf numFmtId="0" fontId="2" fillId="0" borderId="0" xfId="0" applyFont="1" applyAlignment="1">
      <alignment horizontal="right"/>
    </xf>
    <xf numFmtId="164" fontId="3" fillId="0" borderId="8" xfId="0" applyNumberFormat="1" applyFont="1" applyBorder="1" applyAlignment="1">
      <alignment horizontal="right"/>
    </xf>
    <xf numFmtId="165" fontId="3" fillId="2" borderId="0" xfId="0" applyNumberFormat="1" applyFont="1" applyFill="1" applyAlignment="1">
      <alignment horizontal="right"/>
    </xf>
    <xf numFmtId="0" fontId="3" fillId="0" borderId="31" xfId="0" applyFont="1" applyBorder="1"/>
    <xf numFmtId="165" fontId="3" fillId="0" borderId="31" xfId="0" applyNumberFormat="1" applyFont="1" applyBorder="1"/>
    <xf numFmtId="165" fontId="3" fillId="0" borderId="34" xfId="0" applyNumberFormat="1" applyFont="1" applyBorder="1"/>
    <xf numFmtId="0" fontId="5" fillId="0" borderId="0" xfId="1"/>
    <xf numFmtId="10" fontId="5" fillId="0" borderId="0" xfId="1" applyNumberFormat="1"/>
    <xf numFmtId="165" fontId="5" fillId="0" borderId="0" xfId="1" applyNumberFormat="1"/>
    <xf numFmtId="0" fontId="6" fillId="0" borderId="0" xfId="1" applyFont="1"/>
    <xf numFmtId="164" fontId="3" fillId="0" borderId="7" xfId="0" applyNumberFormat="1" applyFont="1" applyBorder="1" applyAlignment="1">
      <alignment horizontal="right"/>
    </xf>
    <xf numFmtId="0" fontId="0" fillId="0" borderId="1" xfId="0" applyBorder="1"/>
    <xf numFmtId="165" fontId="7" fillId="2" borderId="7" xfId="1" applyNumberFormat="1" applyFont="1" applyFill="1" applyBorder="1" applyAlignment="1">
      <alignment horizontal="center" vertical="center" wrapText="1"/>
    </xf>
    <xf numFmtId="10" fontId="7" fillId="2" borderId="0" xfId="1" applyNumberFormat="1" applyFont="1" applyFill="1" applyAlignment="1">
      <alignment horizontal="center" vertical="center" wrapText="1"/>
    </xf>
    <xf numFmtId="10" fontId="7" fillId="2" borderId="8" xfId="1" applyNumberFormat="1" applyFont="1" applyFill="1" applyBorder="1" applyAlignment="1">
      <alignment horizontal="center" vertical="center" wrapText="1"/>
    </xf>
    <xf numFmtId="17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4" fontId="3" fillId="0" borderId="31" xfId="0" applyNumberFormat="1" applyFont="1" applyBorder="1" applyAlignment="1">
      <alignment horizontal="right"/>
    </xf>
    <xf numFmtId="165" fontId="2" fillId="0" borderId="0" xfId="0" applyNumberFormat="1" applyFont="1" applyAlignment="1">
      <alignment horizontal="center" vertical="center"/>
    </xf>
    <xf numFmtId="0" fontId="2" fillId="0" borderId="31" xfId="0" applyFont="1" applyBorder="1" applyAlignment="1">
      <alignment horizontal="center"/>
    </xf>
    <xf numFmtId="164" fontId="3" fillId="0" borderId="31" xfId="0" applyNumberFormat="1" applyFont="1" applyBorder="1"/>
    <xf numFmtId="165" fontId="3" fillId="0" borderId="31" xfId="0" applyNumberFormat="1" applyFont="1" applyBorder="1" applyAlignment="1">
      <alignment horizontal="right"/>
    </xf>
    <xf numFmtId="0" fontId="2" fillId="0" borderId="31" xfId="0" applyFont="1" applyBorder="1" applyAlignment="1">
      <alignment horizontal="right"/>
    </xf>
    <xf numFmtId="0" fontId="3" fillId="0" borderId="31" xfId="0" applyFont="1" applyBorder="1" applyAlignment="1">
      <alignment horizontal="right"/>
    </xf>
    <xf numFmtId="0" fontId="6" fillId="0" borderId="2" xfId="1" applyFont="1" applyBorder="1"/>
    <xf numFmtId="165" fontId="3" fillId="9" borderId="33" xfId="0" applyNumberFormat="1" applyFont="1" applyFill="1" applyBorder="1" applyAlignment="1">
      <alignment horizontal="right"/>
    </xf>
    <xf numFmtId="0" fontId="3" fillId="0" borderId="31" xfId="0" applyFont="1" applyBorder="1" applyAlignment="1">
      <alignment horizontal="left"/>
    </xf>
    <xf numFmtId="0" fontId="2" fillId="8" borderId="51" xfId="0" applyFont="1" applyFill="1" applyBorder="1"/>
    <xf numFmtId="165" fontId="3" fillId="8" borderId="25" xfId="0" applyNumberFormat="1" applyFont="1" applyFill="1" applyBorder="1"/>
    <xf numFmtId="0" fontId="2" fillId="15" borderId="51" xfId="0" applyFont="1" applyFill="1" applyBorder="1"/>
    <xf numFmtId="165" fontId="3" fillId="15" borderId="25" xfId="0" applyNumberFormat="1" applyFont="1" applyFill="1" applyBorder="1"/>
    <xf numFmtId="0" fontId="2" fillId="14" borderId="51" xfId="0" applyFont="1" applyFill="1" applyBorder="1"/>
    <xf numFmtId="165" fontId="3" fillId="14" borderId="25" xfId="0" applyNumberFormat="1" applyFont="1" applyFill="1" applyBorder="1"/>
    <xf numFmtId="0" fontId="2" fillId="9" borderId="52" xfId="0" applyFont="1" applyFill="1" applyBorder="1"/>
    <xf numFmtId="165" fontId="3" fillId="9" borderId="11" xfId="0" applyNumberFormat="1" applyFont="1" applyFill="1" applyBorder="1"/>
    <xf numFmtId="0" fontId="3" fillId="0" borderId="55" xfId="0" applyFont="1" applyBorder="1"/>
    <xf numFmtId="165" fontId="3" fillId="0" borderId="56" xfId="0" applyNumberFormat="1" applyFont="1" applyBorder="1"/>
    <xf numFmtId="0" fontId="3" fillId="0" borderId="8" xfId="0" applyFont="1" applyBorder="1"/>
    <xf numFmtId="165" fontId="3" fillId="0" borderId="57" xfId="0" applyNumberFormat="1" applyFont="1" applyBorder="1"/>
    <xf numFmtId="165" fontId="3" fillId="0" borderId="42" xfId="0" applyNumberFormat="1" applyFont="1" applyBorder="1" applyAlignment="1">
      <alignment horizontal="right"/>
    </xf>
    <xf numFmtId="165" fontId="3" fillId="0" borderId="58" xfId="0" applyNumberFormat="1" applyFont="1" applyBorder="1"/>
    <xf numFmtId="165" fontId="3" fillId="0" borderId="16" xfId="0" applyNumberFormat="1" applyFont="1" applyBorder="1"/>
    <xf numFmtId="0" fontId="3" fillId="0" borderId="59" xfId="0" applyFont="1" applyBorder="1"/>
    <xf numFmtId="165" fontId="3" fillId="0" borderId="29" xfId="0" applyNumberFormat="1" applyFont="1" applyBorder="1"/>
    <xf numFmtId="165" fontId="3" fillId="0" borderId="42" xfId="0" applyNumberFormat="1" applyFont="1" applyBorder="1"/>
    <xf numFmtId="0" fontId="1" fillId="16" borderId="60" xfId="0" applyFont="1" applyFill="1" applyBorder="1"/>
    <xf numFmtId="165" fontId="1" fillId="16" borderId="61" xfId="0" applyNumberFormat="1" applyFont="1" applyFill="1" applyBorder="1"/>
    <xf numFmtId="0" fontId="3" fillId="10" borderId="59" xfId="0" applyFont="1" applyFill="1" applyBorder="1"/>
    <xf numFmtId="165" fontId="3" fillId="10" borderId="42" xfId="0" applyNumberFormat="1" applyFont="1" applyFill="1" applyBorder="1"/>
    <xf numFmtId="0" fontId="3" fillId="11" borderId="62" xfId="0" applyFont="1" applyFill="1" applyBorder="1"/>
    <xf numFmtId="165" fontId="3" fillId="11" borderId="11" xfId="0" applyNumberFormat="1" applyFont="1" applyFill="1" applyBorder="1"/>
    <xf numFmtId="0" fontId="3" fillId="0" borderId="18" xfId="0" applyFont="1" applyBorder="1"/>
    <xf numFmtId="0" fontId="0" fillId="0" borderId="18" xfId="0" applyBorder="1"/>
    <xf numFmtId="0" fontId="3" fillId="0" borderId="30" xfId="0" applyFont="1" applyBorder="1"/>
    <xf numFmtId="0" fontId="3" fillId="0" borderId="20" xfId="0" applyFont="1" applyBorder="1"/>
    <xf numFmtId="0" fontId="3" fillId="0" borderId="21" xfId="0" applyFont="1" applyBorder="1"/>
    <xf numFmtId="0" fontId="4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3" fillId="0" borderId="8" xfId="0" applyNumberFormat="1" applyFont="1" applyBorder="1"/>
    <xf numFmtId="164" fontId="3" fillId="0" borderId="8" xfId="0" applyNumberFormat="1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165" fontId="3" fillId="10" borderId="34" xfId="0" applyNumberFormat="1" applyFont="1" applyFill="1" applyBorder="1" applyAlignment="1">
      <alignment horizontal="right"/>
    </xf>
    <xf numFmtId="0" fontId="2" fillId="13" borderId="7" xfId="0" applyFont="1" applyFill="1" applyBorder="1"/>
    <xf numFmtId="0" fontId="3" fillId="13" borderId="8" xfId="0" applyFont="1" applyFill="1" applyBorder="1"/>
    <xf numFmtId="0" fontId="2" fillId="17" borderId="7" xfId="0" applyFont="1" applyFill="1" applyBorder="1"/>
    <xf numFmtId="0" fontId="3" fillId="17" borderId="8" xfId="0" applyFont="1" applyFill="1" applyBorder="1"/>
    <xf numFmtId="165" fontId="2" fillId="0" borderId="31" xfId="0" applyNumberFormat="1" applyFont="1" applyBorder="1" applyAlignment="1">
      <alignment horizontal="center" vertical="center"/>
    </xf>
    <xf numFmtId="165" fontId="2" fillId="0" borderId="14" xfId="0" applyNumberFormat="1" applyFont="1" applyBorder="1" applyAlignment="1">
      <alignment horizontal="center"/>
    </xf>
    <xf numFmtId="165" fontId="2" fillId="0" borderId="31" xfId="0" applyNumberFormat="1" applyFont="1" applyBorder="1" applyAlignment="1">
      <alignment horizontal="center"/>
    </xf>
    <xf numFmtId="165" fontId="2" fillId="0" borderId="31" xfId="0" applyNumberFormat="1" applyFont="1" applyBorder="1"/>
    <xf numFmtId="0" fontId="6" fillId="5" borderId="2" xfId="1" applyFont="1" applyFill="1" applyBorder="1" applyAlignment="1">
      <alignment wrapText="1"/>
    </xf>
    <xf numFmtId="165" fontId="5" fillId="5" borderId="24" xfId="2" applyNumberFormat="1" applyFont="1" applyFill="1" applyBorder="1" applyAlignment="1">
      <alignment horizontal="right" wrapText="1"/>
    </xf>
    <xf numFmtId="0" fontId="6" fillId="18" borderId="2" xfId="1" applyFont="1" applyFill="1" applyBorder="1" applyAlignment="1">
      <alignment wrapText="1"/>
    </xf>
    <xf numFmtId="165" fontId="5" fillId="18" borderId="24" xfId="2" applyNumberFormat="1" applyFont="1" applyFill="1" applyBorder="1" applyAlignment="1">
      <alignment horizontal="right" wrapText="1"/>
    </xf>
    <xf numFmtId="0" fontId="6" fillId="3" borderId="2" xfId="1" applyFont="1" applyFill="1" applyBorder="1" applyAlignment="1">
      <alignment wrapText="1"/>
    </xf>
    <xf numFmtId="165" fontId="5" fillId="3" borderId="24" xfId="2" applyNumberFormat="1" applyFont="1" applyFill="1" applyBorder="1" applyAlignment="1">
      <alignment horizontal="right" wrapText="1"/>
    </xf>
    <xf numFmtId="165" fontId="5" fillId="3" borderId="7" xfId="2" applyNumberFormat="1" applyFont="1" applyFill="1" applyBorder="1" applyAlignment="1">
      <alignment horizontal="right" wrapText="1"/>
    </xf>
    <xf numFmtId="0" fontId="3" fillId="2" borderId="0" xfId="0" applyFont="1" applyFill="1"/>
    <xf numFmtId="10" fontId="5" fillId="5" borderId="35" xfId="2" applyNumberFormat="1" applyFont="1" applyFill="1" applyBorder="1" applyAlignment="1">
      <alignment horizontal="right" wrapText="1"/>
    </xf>
    <xf numFmtId="10" fontId="5" fillId="18" borderId="35" xfId="2" applyNumberFormat="1" applyFont="1" applyFill="1" applyBorder="1" applyAlignment="1">
      <alignment horizontal="right" wrapText="1"/>
    </xf>
    <xf numFmtId="10" fontId="5" fillId="3" borderId="35" xfId="2" applyNumberFormat="1" applyFont="1" applyFill="1" applyBorder="1" applyAlignment="1">
      <alignment horizontal="right" wrapText="1"/>
    </xf>
    <xf numFmtId="10" fontId="5" fillId="3" borderId="27" xfId="2" applyNumberFormat="1" applyFont="1" applyFill="1" applyBorder="1" applyAlignment="1">
      <alignment horizontal="right" wrapText="1"/>
    </xf>
    <xf numFmtId="165" fontId="5" fillId="18" borderId="35" xfId="2" applyNumberFormat="1" applyFont="1" applyFill="1" applyBorder="1" applyAlignment="1">
      <alignment horizontal="right" wrapText="1"/>
    </xf>
    <xf numFmtId="165" fontId="7" fillId="2" borderId="64" xfId="1" applyNumberFormat="1" applyFont="1" applyFill="1" applyBorder="1" applyAlignment="1">
      <alignment horizontal="center" vertical="center" wrapText="1"/>
    </xf>
    <xf numFmtId="165" fontId="5" fillId="5" borderId="51" xfId="1" applyNumberFormat="1" applyFill="1" applyBorder="1"/>
    <xf numFmtId="165" fontId="5" fillId="18" borderId="51" xfId="1" applyNumberFormat="1" applyFill="1" applyBorder="1"/>
    <xf numFmtId="165" fontId="5" fillId="3" borderId="51" xfId="1" applyNumberFormat="1" applyFill="1" applyBorder="1"/>
    <xf numFmtId="10" fontId="7" fillId="2" borderId="63" xfId="1" applyNumberFormat="1" applyFont="1" applyFill="1" applyBorder="1" applyAlignment="1">
      <alignment horizontal="center" vertical="center" wrapText="1"/>
    </xf>
    <xf numFmtId="10" fontId="0" fillId="5" borderId="25" xfId="2" applyNumberFormat="1" applyFont="1" applyFill="1" applyBorder="1" applyAlignment="1"/>
    <xf numFmtId="10" fontId="0" fillId="18" borderId="25" xfId="2" applyNumberFormat="1" applyFont="1" applyFill="1" applyBorder="1" applyAlignment="1"/>
    <xf numFmtId="10" fontId="0" fillId="3" borderId="25" xfId="2" applyNumberFormat="1" applyFont="1" applyFill="1" applyBorder="1" applyAlignment="1"/>
    <xf numFmtId="165" fontId="2" fillId="0" borderId="7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2" xfId="1" applyFont="1" applyFill="1" applyBorder="1" applyAlignment="1">
      <alignment wrapText="1"/>
    </xf>
    <xf numFmtId="165" fontId="5" fillId="3" borderId="68" xfId="1" applyNumberFormat="1" applyFill="1" applyBorder="1"/>
    <xf numFmtId="10" fontId="0" fillId="3" borderId="8" xfId="2" applyNumberFormat="1" applyFont="1" applyFill="1" applyBorder="1" applyAlignment="1"/>
    <xf numFmtId="0" fontId="6" fillId="2" borderId="13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wrapText="1"/>
    </xf>
    <xf numFmtId="165" fontId="5" fillId="4" borderId="1" xfId="2" applyNumberFormat="1" applyFont="1" applyFill="1" applyBorder="1" applyAlignment="1">
      <alignment horizontal="right" wrapText="1"/>
    </xf>
    <xf numFmtId="10" fontId="5" fillId="4" borderId="1" xfId="2" applyNumberFormat="1" applyFont="1" applyFill="1" applyBorder="1" applyAlignment="1">
      <alignment horizontal="right" wrapText="1"/>
    </xf>
    <xf numFmtId="165" fontId="5" fillId="4" borderId="1" xfId="1" applyNumberFormat="1" applyFill="1" applyBorder="1"/>
    <xf numFmtId="10" fontId="0" fillId="4" borderId="1" xfId="2" applyNumberFormat="1" applyFont="1" applyFill="1" applyBorder="1" applyAlignment="1"/>
    <xf numFmtId="0" fontId="2" fillId="12" borderId="17" xfId="0" applyFont="1" applyFill="1" applyBorder="1"/>
    <xf numFmtId="0" fontId="3" fillId="12" borderId="19" xfId="0" applyFont="1" applyFill="1" applyBorder="1"/>
    <xf numFmtId="0" fontId="3" fillId="19" borderId="0" xfId="0" applyFont="1" applyFill="1"/>
    <xf numFmtId="165" fontId="3" fillId="19" borderId="0" xfId="0" applyNumberFormat="1" applyFont="1" applyFill="1" applyAlignment="1">
      <alignment horizontal="right"/>
    </xf>
    <xf numFmtId="165" fontId="3" fillId="20" borderId="14" xfId="0" applyNumberFormat="1" applyFont="1" applyFill="1" applyBorder="1"/>
    <xf numFmtId="16" fontId="3" fillId="0" borderId="31" xfId="0" applyNumberFormat="1" applyFont="1" applyBorder="1" applyAlignment="1">
      <alignment horizontal="right"/>
    </xf>
    <xf numFmtId="165" fontId="3" fillId="21" borderId="14" xfId="0" applyNumberFormat="1" applyFont="1" applyFill="1" applyBorder="1"/>
    <xf numFmtId="165" fontId="3" fillId="22" borderId="0" xfId="0" applyNumberFormat="1" applyFont="1" applyFill="1"/>
    <xf numFmtId="165" fontId="0" fillId="0" borderId="0" xfId="0" applyNumberFormat="1"/>
    <xf numFmtId="165" fontId="3" fillId="22" borderId="14" xfId="0" applyNumberFormat="1" applyFont="1" applyFill="1" applyBorder="1"/>
    <xf numFmtId="9" fontId="0" fillId="0" borderId="0" xfId="0" applyNumberFormat="1"/>
    <xf numFmtId="0" fontId="3" fillId="0" borderId="0" xfId="0" applyFont="1" applyAlignment="1">
      <alignment horizontal="left"/>
    </xf>
    <xf numFmtId="0" fontId="3" fillId="0" borderId="0" xfId="0" applyFont="1" applyBorder="1"/>
    <xf numFmtId="165" fontId="3" fillId="0" borderId="0" xfId="0" applyNumberFormat="1" applyFont="1" applyBorder="1"/>
    <xf numFmtId="0" fontId="3" fillId="0" borderId="0" xfId="0" applyFont="1" applyBorder="1" applyAlignment="1">
      <alignment horizontal="left"/>
    </xf>
    <xf numFmtId="0" fontId="3" fillId="3" borderId="13" xfId="0" applyFont="1" applyFill="1" applyBorder="1"/>
    <xf numFmtId="165" fontId="3" fillId="3" borderId="0" xfId="0" applyNumberFormat="1" applyFont="1" applyFill="1"/>
    <xf numFmtId="165" fontId="3" fillId="0" borderId="34" xfId="0" applyNumberFormat="1" applyFont="1" applyFill="1" applyBorder="1"/>
    <xf numFmtId="165" fontId="3" fillId="0" borderId="31" xfId="0" applyNumberFormat="1" applyFont="1" applyFill="1" applyBorder="1"/>
    <xf numFmtId="165" fontId="3" fillId="0" borderId="0" xfId="0" applyNumberFormat="1" applyFont="1" applyFill="1"/>
    <xf numFmtId="165" fontId="3" fillId="0" borderId="14" xfId="0" applyNumberFormat="1" applyFont="1" applyFill="1" applyBorder="1"/>
    <xf numFmtId="165" fontId="3" fillId="0" borderId="0" xfId="0" quotePrefix="1" applyNumberFormat="1" applyFont="1" applyAlignment="1">
      <alignment horizontal="right"/>
    </xf>
    <xf numFmtId="16" fontId="0" fillId="0" borderId="0" xfId="0" applyNumberFormat="1"/>
    <xf numFmtId="0" fontId="3" fillId="23" borderId="13" xfId="0" applyFont="1" applyFill="1" applyBorder="1"/>
    <xf numFmtId="165" fontId="3" fillId="23" borderId="0" xfId="0" applyNumberFormat="1" applyFont="1" applyFill="1"/>
    <xf numFmtId="0" fontId="0" fillId="0" borderId="0" xfId="0" applyNumberFormat="1"/>
    <xf numFmtId="0" fontId="3" fillId="24" borderId="13" xfId="0" applyFont="1" applyFill="1" applyBorder="1"/>
    <xf numFmtId="165" fontId="3" fillId="24" borderId="0" xfId="0" applyNumberFormat="1" applyFont="1" applyFill="1"/>
    <xf numFmtId="165" fontId="3" fillId="0" borderId="13" xfId="0" applyNumberFormat="1" applyFont="1" applyFill="1" applyBorder="1"/>
    <xf numFmtId="0" fontId="0" fillId="0" borderId="0" xfId="0" applyAlignment="1"/>
    <xf numFmtId="0" fontId="3" fillId="22" borderId="13" xfId="0" applyFont="1" applyFill="1" applyBorder="1"/>
    <xf numFmtId="0" fontId="0" fillId="0" borderId="13" xfId="0" applyFont="1" applyFill="1" applyBorder="1"/>
    <xf numFmtId="165" fontId="0" fillId="0" borderId="0" xfId="0" applyNumberFormat="1" applyFont="1" applyFill="1"/>
    <xf numFmtId="0" fontId="3" fillId="0" borderId="13" xfId="0" applyFont="1" applyFill="1" applyBorder="1"/>
    <xf numFmtId="165" fontId="3" fillId="0" borderId="0" xfId="0" applyNumberFormat="1" applyFont="1" applyFill="1" applyAlignment="1">
      <alignment horizontal="right"/>
    </xf>
    <xf numFmtId="164" fontId="3" fillId="0" borderId="0" xfId="0" applyNumberFormat="1" applyFont="1" applyFill="1" applyAlignment="1">
      <alignment horizontal="right"/>
    </xf>
    <xf numFmtId="164" fontId="3" fillId="0" borderId="0" xfId="0" applyNumberFormat="1" applyFont="1" applyFill="1"/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right"/>
    </xf>
    <xf numFmtId="165" fontId="0" fillId="22" borderId="0" xfId="0" applyNumberFormat="1" applyFill="1"/>
    <xf numFmtId="165" fontId="6" fillId="2" borderId="24" xfId="1" applyNumberFormat="1" applyFont="1" applyFill="1" applyBorder="1" applyAlignment="1">
      <alignment horizontal="center"/>
    </xf>
    <xf numFmtId="165" fontId="6" fillId="2" borderId="25" xfId="1" applyNumberFormat="1" applyFont="1" applyFill="1" applyBorder="1" applyAlignment="1">
      <alignment horizontal="center"/>
    </xf>
    <xf numFmtId="165" fontId="6" fillId="2" borderId="22" xfId="1" applyNumberFormat="1" applyFont="1" applyFill="1" applyBorder="1" applyAlignment="1">
      <alignment horizontal="center" vertical="center" wrapText="1"/>
    </xf>
    <xf numFmtId="165" fontId="6" fillId="2" borderId="4" xfId="1" applyNumberFormat="1" applyFont="1" applyFill="1" applyBorder="1" applyAlignment="1">
      <alignment horizontal="center" vertical="center" wrapText="1"/>
    </xf>
    <xf numFmtId="165" fontId="5" fillId="0" borderId="28" xfId="1" applyNumberFormat="1" applyBorder="1" applyAlignment="1">
      <alignment horizontal="center"/>
    </xf>
    <xf numFmtId="165" fontId="5" fillId="0" borderId="29" xfId="1" applyNumberFormat="1" applyBorder="1" applyAlignment="1">
      <alignment horizontal="center"/>
    </xf>
    <xf numFmtId="0" fontId="6" fillId="2" borderId="69" xfId="1" applyFont="1" applyFill="1" applyBorder="1" applyAlignment="1">
      <alignment horizontal="center" vertical="center" wrapText="1"/>
    </xf>
    <xf numFmtId="0" fontId="6" fillId="2" borderId="35" xfId="1" applyFont="1" applyFill="1" applyBorder="1" applyAlignment="1">
      <alignment horizontal="center" vertical="center" wrapText="1"/>
    </xf>
    <xf numFmtId="0" fontId="6" fillId="2" borderId="30" xfId="1" applyFont="1" applyFill="1" applyBorder="1" applyAlignment="1">
      <alignment horizontal="center" vertical="center" wrapText="1"/>
    </xf>
    <xf numFmtId="0" fontId="6" fillId="2" borderId="21" xfId="1" applyFont="1" applyFill="1" applyBorder="1" applyAlignment="1">
      <alignment horizontal="center" vertical="center" wrapText="1"/>
    </xf>
    <xf numFmtId="17" fontId="6" fillId="2" borderId="30" xfId="1" applyNumberFormat="1" applyFont="1" applyFill="1" applyBorder="1" applyAlignment="1">
      <alignment horizontal="center" vertical="center" wrapText="1"/>
    </xf>
    <xf numFmtId="165" fontId="5" fillId="0" borderId="2" xfId="1" applyNumberFormat="1" applyBorder="1" applyAlignment="1">
      <alignment horizontal="center"/>
    </xf>
    <xf numFmtId="165" fontId="5" fillId="0" borderId="3" xfId="1" applyNumberFormat="1" applyBorder="1" applyAlignment="1">
      <alignment horizontal="center"/>
    </xf>
    <xf numFmtId="165" fontId="5" fillId="0" borderId="15" xfId="1" applyNumberFormat="1" applyBorder="1" applyAlignment="1">
      <alignment horizontal="center"/>
    </xf>
    <xf numFmtId="165" fontId="5" fillId="0" borderId="26" xfId="1" applyNumberFormat="1" applyBorder="1" applyAlignment="1">
      <alignment horizontal="center"/>
    </xf>
    <xf numFmtId="0" fontId="5" fillId="0" borderId="15" xfId="1" applyBorder="1" applyAlignment="1">
      <alignment horizontal="center"/>
    </xf>
    <xf numFmtId="0" fontId="6" fillId="2" borderId="9" xfId="1" applyFont="1" applyFill="1" applyBorder="1" applyAlignment="1">
      <alignment horizontal="center"/>
    </xf>
    <xf numFmtId="0" fontId="6" fillId="2" borderId="11" xfId="1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3" fillId="6" borderId="59" xfId="0" applyFont="1" applyFill="1" applyBorder="1" applyAlignment="1">
      <alignment horizontal="center"/>
    </xf>
    <xf numFmtId="0" fontId="3" fillId="6" borderId="42" xfId="0" applyFont="1" applyFill="1" applyBorder="1" applyAlignment="1">
      <alignment horizontal="center"/>
    </xf>
    <xf numFmtId="0" fontId="2" fillId="9" borderId="32" xfId="0" applyFont="1" applyFill="1" applyBorder="1" applyAlignment="1">
      <alignment horizontal="center"/>
    </xf>
    <xf numFmtId="0" fontId="2" fillId="9" borderId="33" xfId="0" applyFont="1" applyFill="1" applyBorder="1" applyAlignment="1">
      <alignment horizontal="center"/>
    </xf>
    <xf numFmtId="165" fontId="2" fillId="13" borderId="65" xfId="0" applyNumberFormat="1" applyFont="1" applyFill="1" applyBorder="1" applyAlignment="1">
      <alignment horizontal="center"/>
    </xf>
    <xf numFmtId="165" fontId="2" fillId="13" borderId="40" xfId="0" applyNumberFormat="1" applyFont="1" applyFill="1" applyBorder="1" applyAlignment="1">
      <alignment horizontal="center"/>
    </xf>
    <xf numFmtId="165" fontId="2" fillId="13" borderId="66" xfId="0" applyNumberFormat="1" applyFont="1" applyFill="1" applyBorder="1" applyAlignment="1">
      <alignment horizontal="center"/>
    </xf>
    <xf numFmtId="165" fontId="2" fillId="19" borderId="7" xfId="0" applyNumberFormat="1" applyFont="1" applyFill="1" applyBorder="1" applyAlignment="1">
      <alignment horizontal="center" vertical="center"/>
    </xf>
    <xf numFmtId="165" fontId="2" fillId="19" borderId="8" xfId="0" applyNumberFormat="1" applyFont="1" applyFill="1" applyBorder="1" applyAlignment="1">
      <alignment horizontal="center" vertical="center"/>
    </xf>
    <xf numFmtId="165" fontId="2" fillId="19" borderId="9" xfId="0" applyNumberFormat="1" applyFont="1" applyFill="1" applyBorder="1" applyAlignment="1">
      <alignment horizontal="center" vertical="center"/>
    </xf>
    <xf numFmtId="165" fontId="2" fillId="19" borderId="11" xfId="0" applyNumberFormat="1" applyFont="1" applyFill="1" applyBorder="1" applyAlignment="1">
      <alignment horizontal="center" vertical="center"/>
    </xf>
    <xf numFmtId="165" fontId="2" fillId="15" borderId="65" xfId="0" applyNumberFormat="1" applyFont="1" applyFill="1" applyBorder="1" applyAlignment="1">
      <alignment horizontal="center"/>
    </xf>
    <xf numFmtId="165" fontId="2" fillId="15" borderId="40" xfId="0" applyNumberFormat="1" applyFont="1" applyFill="1" applyBorder="1" applyAlignment="1">
      <alignment horizontal="center"/>
    </xf>
    <xf numFmtId="165" fontId="2" fillId="15" borderId="41" xfId="0" applyNumberFormat="1" applyFont="1" applyFill="1" applyBorder="1" applyAlignment="1">
      <alignment horizontal="center"/>
    </xf>
    <xf numFmtId="165" fontId="8" fillId="10" borderId="67" xfId="0" applyNumberFormat="1" applyFont="1" applyFill="1" applyBorder="1" applyAlignment="1">
      <alignment horizontal="center"/>
    </xf>
    <xf numFmtId="165" fontId="8" fillId="10" borderId="18" xfId="0" applyNumberFormat="1" applyFont="1" applyFill="1" applyBorder="1" applyAlignment="1">
      <alignment horizontal="center"/>
    </xf>
    <xf numFmtId="165" fontId="8" fillId="10" borderId="19" xfId="0" applyNumberFormat="1" applyFont="1" applyFill="1" applyBorder="1" applyAlignment="1">
      <alignment horizontal="center"/>
    </xf>
    <xf numFmtId="0" fontId="2" fillId="13" borderId="53" xfId="0" applyFont="1" applyFill="1" applyBorder="1" applyAlignment="1">
      <alignment horizontal="center"/>
    </xf>
    <xf numFmtId="0" fontId="2" fillId="13" borderId="54" xfId="0" applyFont="1" applyFill="1" applyBorder="1" applyAlignment="1">
      <alignment horizontal="center"/>
    </xf>
    <xf numFmtId="165" fontId="3" fillId="13" borderId="22" xfId="0" applyNumberFormat="1" applyFont="1" applyFill="1" applyBorder="1" applyAlignment="1">
      <alignment horizontal="center" vertical="center"/>
    </xf>
    <xf numFmtId="165" fontId="3" fillId="13" borderId="39" xfId="0" applyNumberFormat="1" applyFont="1" applyFill="1" applyBorder="1" applyAlignment="1">
      <alignment horizontal="center" vertical="center"/>
    </xf>
    <xf numFmtId="165" fontId="3" fillId="17" borderId="37" xfId="0" applyNumberFormat="1" applyFont="1" applyFill="1" applyBorder="1" applyAlignment="1">
      <alignment horizontal="center"/>
    </xf>
    <xf numFmtId="165" fontId="3" fillId="17" borderId="49" xfId="0" applyNumberFormat="1" applyFont="1" applyFill="1" applyBorder="1" applyAlignment="1">
      <alignment horizontal="center"/>
    </xf>
    <xf numFmtId="165" fontId="3" fillId="17" borderId="50" xfId="0" applyNumberFormat="1" applyFont="1" applyFill="1" applyBorder="1" applyAlignment="1">
      <alignment horizontal="center"/>
    </xf>
    <xf numFmtId="165" fontId="3" fillId="17" borderId="4" xfId="0" applyNumberFormat="1" applyFont="1" applyFill="1" applyBorder="1" applyAlignment="1">
      <alignment horizontal="center"/>
    </xf>
    <xf numFmtId="165" fontId="3" fillId="17" borderId="23" xfId="0" applyNumberFormat="1" applyFont="1" applyFill="1" applyBorder="1" applyAlignment="1">
      <alignment horizontal="center"/>
    </xf>
    <xf numFmtId="0" fontId="3" fillId="10" borderId="31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165" fontId="3" fillId="13" borderId="37" xfId="0" applyNumberFormat="1" applyFont="1" applyFill="1" applyBorder="1" applyAlignment="1">
      <alignment horizontal="center"/>
    </xf>
    <xf numFmtId="165" fontId="3" fillId="13" borderId="23" xfId="0" applyNumberFormat="1" applyFont="1" applyFill="1" applyBorder="1" applyAlignment="1">
      <alignment horizontal="center"/>
    </xf>
    <xf numFmtId="165" fontId="3" fillId="13" borderId="49" xfId="0" applyNumberFormat="1" applyFont="1" applyFill="1" applyBorder="1" applyAlignment="1">
      <alignment horizontal="center"/>
    </xf>
    <xf numFmtId="165" fontId="3" fillId="13" borderId="50" xfId="0" applyNumberFormat="1" applyFont="1" applyFill="1" applyBorder="1" applyAlignment="1">
      <alignment horizontal="center"/>
    </xf>
    <xf numFmtId="165" fontId="3" fillId="13" borderId="4" xfId="0" applyNumberFormat="1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17" fontId="2" fillId="7" borderId="17" xfId="0" applyNumberFormat="1" applyFont="1" applyFill="1" applyBorder="1" applyAlignment="1">
      <alignment horizontal="center"/>
    </xf>
    <xf numFmtId="17" fontId="2" fillId="7" borderId="18" xfId="0" applyNumberFormat="1" applyFont="1" applyFill="1" applyBorder="1" applyAlignment="1">
      <alignment horizontal="center"/>
    </xf>
    <xf numFmtId="17" fontId="2" fillId="7" borderId="19" xfId="0" applyNumberFormat="1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165" fontId="2" fillId="7" borderId="36" xfId="0" applyNumberFormat="1" applyFont="1" applyFill="1" applyBorder="1" applyAlignment="1">
      <alignment horizontal="center" vertical="center"/>
    </xf>
    <xf numFmtId="165" fontId="2" fillId="7" borderId="20" xfId="0" applyNumberFormat="1" applyFont="1" applyFill="1" applyBorder="1" applyAlignment="1">
      <alignment horizontal="center" vertical="center"/>
    </xf>
    <xf numFmtId="165" fontId="2" fillId="7" borderId="43" xfId="0" applyNumberFormat="1" applyFont="1" applyFill="1" applyBorder="1" applyAlignment="1">
      <alignment horizontal="center" vertical="center"/>
    </xf>
    <xf numFmtId="0" fontId="2" fillId="13" borderId="44" xfId="0" applyFont="1" applyFill="1" applyBorder="1" applyAlignment="1">
      <alignment horizontal="center"/>
    </xf>
    <xf numFmtId="0" fontId="2" fillId="13" borderId="20" xfId="0" applyFont="1" applyFill="1" applyBorder="1" applyAlignment="1">
      <alignment horizontal="center"/>
    </xf>
    <xf numFmtId="0" fontId="2" fillId="13" borderId="45" xfId="0" applyFont="1" applyFill="1" applyBorder="1" applyAlignment="1">
      <alignment horizontal="center"/>
    </xf>
    <xf numFmtId="0" fontId="2" fillId="13" borderId="46" xfId="0" applyFont="1" applyFill="1" applyBorder="1" applyAlignment="1">
      <alignment horizontal="center"/>
    </xf>
    <xf numFmtId="0" fontId="2" fillId="13" borderId="47" xfId="0" applyFont="1" applyFill="1" applyBorder="1" applyAlignment="1">
      <alignment horizontal="center"/>
    </xf>
    <xf numFmtId="0" fontId="2" fillId="13" borderId="48" xfId="0" applyFont="1" applyFill="1" applyBorder="1" applyAlignment="1">
      <alignment horizontal="center"/>
    </xf>
    <xf numFmtId="0" fontId="2" fillId="13" borderId="38" xfId="0" applyFont="1" applyFill="1" applyBorder="1" applyAlignment="1">
      <alignment horizontal="center"/>
    </xf>
    <xf numFmtId="0" fontId="2" fillId="17" borderId="36" xfId="0" applyFont="1" applyFill="1" applyBorder="1" applyAlignment="1">
      <alignment horizontal="center"/>
    </xf>
    <xf numFmtId="0" fontId="2" fillId="17" borderId="45" xfId="0" applyFont="1" applyFill="1" applyBorder="1" applyAlignment="1">
      <alignment horizontal="center"/>
    </xf>
    <xf numFmtId="0" fontId="2" fillId="17" borderId="46" xfId="0" applyFont="1" applyFill="1" applyBorder="1" applyAlignment="1">
      <alignment horizontal="center"/>
    </xf>
    <xf numFmtId="0" fontId="2" fillId="17" borderId="20" xfId="0" applyFont="1" applyFill="1" applyBorder="1" applyAlignment="1">
      <alignment horizontal="center"/>
    </xf>
    <xf numFmtId="0" fontId="2" fillId="17" borderId="48" xfId="0" applyFont="1" applyFill="1" applyBorder="1" applyAlignment="1">
      <alignment horizontal="center"/>
    </xf>
    <xf numFmtId="0" fontId="2" fillId="12" borderId="30" xfId="0" applyFont="1" applyFill="1" applyBorder="1" applyAlignment="1">
      <alignment horizontal="center"/>
    </xf>
    <xf numFmtId="0" fontId="2" fillId="12" borderId="21" xfId="0" applyFont="1" applyFill="1" applyBorder="1" applyAlignment="1">
      <alignment horizontal="center"/>
    </xf>
    <xf numFmtId="0" fontId="0" fillId="0" borderId="0" xfId="0" applyAlignment="1">
      <alignment horizontal="center"/>
    </xf>
    <xf numFmtId="165" fontId="3" fillId="0" borderId="31" xfId="0" applyNumberFormat="1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4" fontId="3" fillId="0" borderId="31" xfId="0" applyNumberFormat="1" applyFont="1" applyBorder="1" applyAlignment="1">
      <alignment horizontal="center"/>
    </xf>
  </cellXfs>
  <cellStyles count="3">
    <cellStyle name="Normal" xfId="0" builtinId="0"/>
    <cellStyle name="Normal 2" xfId="1" xr:uid="{AB7D9E94-1906-0E42-A72A-EDD5B8605D12}"/>
    <cellStyle name="Percentagem 2" xfId="2" xr:uid="{13EE4AAB-2565-6A4E-80B2-E71034B3EB0D}"/>
  </cellStyles>
  <dxfs count="0"/>
  <tableStyles count="0" defaultTableStyle="TableStyleMedium2" defaultPivotStyle="PivotStyleLight16"/>
  <colors>
    <mruColors>
      <color rgb="FF08FC04"/>
      <color rgb="FFF2DEC7"/>
      <color rgb="FFEEDBAB"/>
      <color rgb="FFEAEAEA"/>
      <color rgb="FFD8E2F4"/>
      <color rgb="FFD1C1AB"/>
      <color rgb="FFE2F0D9"/>
      <color rgb="FF6F6C15"/>
      <color rgb="FF283F1A"/>
      <color rgb="FF1F30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84A93-B37A-5046-8010-1B43A243BA35}">
  <sheetPr>
    <tabColor theme="9" tint="-0.249977111117893"/>
  </sheetPr>
  <dimension ref="B3:AB52"/>
  <sheetViews>
    <sheetView zoomScale="75" zoomScaleNormal="75" workbookViewId="0">
      <selection activeCell="T14" sqref="T14"/>
    </sheetView>
  </sheetViews>
  <sheetFormatPr defaultColWidth="11" defaultRowHeight="15.95"/>
  <cols>
    <col min="1" max="1" width="8" customWidth="1"/>
    <col min="2" max="2" width="5.375" customWidth="1"/>
    <col min="3" max="3" width="24.875" customWidth="1"/>
    <col min="4" max="4" width="13.625" customWidth="1"/>
    <col min="5" max="5" width="5.125" customWidth="1"/>
    <col min="7" max="7" width="8.625" customWidth="1"/>
    <col min="8" max="8" width="21.875" customWidth="1"/>
    <col min="9" max="9" width="12.625" customWidth="1"/>
    <col min="10" max="10" width="9.125" customWidth="1"/>
    <col min="11" max="11" width="40.75" bestFit="1" customWidth="1"/>
    <col min="13" max="13" width="14.625" customWidth="1"/>
    <col min="15" max="15" width="29.625" customWidth="1"/>
    <col min="16" max="16" width="12.375" customWidth="1"/>
    <col min="17" max="17" width="20" customWidth="1"/>
    <col min="19" max="19" width="17" customWidth="1"/>
    <col min="21" max="21" width="14.375" customWidth="1"/>
    <col min="23" max="23" width="14.875" customWidth="1"/>
    <col min="24" max="24" width="16.875" customWidth="1"/>
    <col min="27" max="27" width="21.625" customWidth="1"/>
    <col min="28" max="28" width="75.125" customWidth="1"/>
  </cols>
  <sheetData>
    <row r="3" spans="2:28" ht="15.75" thickBot="1"/>
    <row r="4" spans="2:28" ht="15.75" thickBot="1">
      <c r="B4" s="71"/>
      <c r="C4" s="72"/>
      <c r="D4" s="72"/>
      <c r="E4" s="7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2:28" ht="21.95" thickBot="1">
      <c r="B5" s="10"/>
      <c r="C5" s="215" t="s">
        <v>0</v>
      </c>
      <c r="D5" s="216"/>
      <c r="E5" s="74"/>
      <c r="F5" s="3"/>
      <c r="G5" s="217" t="s">
        <v>1</v>
      </c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9"/>
      <c r="Y5" s="33"/>
      <c r="Z5" s="4"/>
      <c r="AA5" s="220" t="s">
        <v>2</v>
      </c>
      <c r="AB5" s="221"/>
    </row>
    <row r="6" spans="2:28" ht="15">
      <c r="B6" s="10"/>
      <c r="C6" s="45" t="s">
        <v>3</v>
      </c>
      <c r="D6" s="46">
        <f>J32</f>
        <v>878.04000000000008</v>
      </c>
      <c r="E6" s="75"/>
      <c r="F6" s="5"/>
      <c r="G6" s="222" t="s">
        <v>4</v>
      </c>
      <c r="H6" s="223"/>
      <c r="I6" s="224"/>
      <c r="J6" s="225" t="s">
        <v>5</v>
      </c>
      <c r="K6" s="226"/>
      <c r="L6" s="227"/>
      <c r="M6" s="228" t="s">
        <v>6</v>
      </c>
      <c r="N6" s="229"/>
      <c r="O6" s="230" t="s">
        <v>7</v>
      </c>
      <c r="P6" s="231"/>
      <c r="Q6" s="232" t="s">
        <v>8</v>
      </c>
      <c r="R6" s="233"/>
      <c r="S6" s="234" t="s">
        <v>9</v>
      </c>
      <c r="T6" s="235"/>
      <c r="U6" s="236" t="s">
        <v>10</v>
      </c>
      <c r="V6" s="235"/>
      <c r="W6" s="237" t="s">
        <v>11</v>
      </c>
      <c r="X6" s="238"/>
      <c r="Y6" s="5"/>
      <c r="Z6" s="4"/>
      <c r="AA6" s="82" t="s">
        <v>5</v>
      </c>
      <c r="AB6" s="83" t="s">
        <v>12</v>
      </c>
    </row>
    <row r="7" spans="2:28">
      <c r="B7" s="10"/>
      <c r="C7" s="47" t="s">
        <v>13</v>
      </c>
      <c r="D7" s="48">
        <f>Q32</f>
        <v>295.15999999999997</v>
      </c>
      <c r="E7" s="12"/>
      <c r="F7" s="6"/>
      <c r="G7" s="89" t="s">
        <v>14</v>
      </c>
      <c r="H7" s="36" t="s">
        <v>15</v>
      </c>
      <c r="I7" s="36" t="s">
        <v>16</v>
      </c>
      <c r="J7" s="86" t="s">
        <v>14</v>
      </c>
      <c r="K7" s="34" t="s">
        <v>17</v>
      </c>
      <c r="L7" s="87" t="s">
        <v>16</v>
      </c>
      <c r="M7" s="34" t="s">
        <v>17</v>
      </c>
      <c r="N7" s="34" t="s">
        <v>16</v>
      </c>
      <c r="O7" s="9" t="s">
        <v>17</v>
      </c>
      <c r="P7" s="34" t="s">
        <v>16</v>
      </c>
      <c r="Q7" s="88" t="s">
        <v>17</v>
      </c>
      <c r="R7" s="87" t="s">
        <v>16</v>
      </c>
      <c r="S7" s="34" t="s">
        <v>17</v>
      </c>
      <c r="T7" s="34" t="s">
        <v>16</v>
      </c>
      <c r="U7" s="9" t="s">
        <v>17</v>
      </c>
      <c r="V7" s="34" t="s">
        <v>16</v>
      </c>
      <c r="W7" s="111" t="s">
        <v>17</v>
      </c>
      <c r="X7" s="112" t="s">
        <v>16</v>
      </c>
      <c r="Y7" s="34"/>
      <c r="Z7" s="4"/>
      <c r="AA7" s="82" t="s">
        <v>18</v>
      </c>
      <c r="AB7" s="83" t="s">
        <v>19</v>
      </c>
    </row>
    <row r="8" spans="2:28">
      <c r="B8" s="10"/>
      <c r="C8" s="49" t="s">
        <v>20</v>
      </c>
      <c r="D8" s="50">
        <f>D7+D6</f>
        <v>1173.2</v>
      </c>
      <c r="E8" s="12"/>
      <c r="F8" s="6"/>
      <c r="G8" s="22"/>
      <c r="H8" s="6" t="s">
        <v>21</v>
      </c>
      <c r="I8" s="8">
        <v>1047.57</v>
      </c>
      <c r="J8" s="39" t="s">
        <v>22</v>
      </c>
      <c r="K8" s="4" t="s">
        <v>23</v>
      </c>
      <c r="L8" s="13">
        <v>500</v>
      </c>
      <c r="M8" s="4" t="s">
        <v>24</v>
      </c>
      <c r="N8" s="13">
        <v>28</v>
      </c>
      <c r="O8" s="15" t="s">
        <v>25</v>
      </c>
      <c r="P8" s="6">
        <v>42.49</v>
      </c>
      <c r="Q8" s="22" t="s">
        <v>26</v>
      </c>
      <c r="R8" s="13">
        <v>11.35</v>
      </c>
      <c r="S8" s="4" t="s">
        <v>27</v>
      </c>
      <c r="T8" s="6">
        <v>11</v>
      </c>
      <c r="U8" s="152" t="s">
        <v>28</v>
      </c>
      <c r="V8" s="161">
        <v>70.5</v>
      </c>
      <c r="W8" s="7" t="s">
        <v>29</v>
      </c>
      <c r="X8" s="12"/>
      <c r="Y8" s="6"/>
      <c r="Z8" s="4"/>
      <c r="AA8" s="82" t="s">
        <v>7</v>
      </c>
      <c r="AB8" s="83" t="s">
        <v>30</v>
      </c>
    </row>
    <row r="9" spans="2:28" ht="17.100000000000001" thickBot="1">
      <c r="B9" s="10"/>
      <c r="C9" s="51" t="s">
        <v>31</v>
      </c>
      <c r="D9" s="52">
        <f>I32</f>
        <v>297.33000000000015</v>
      </c>
      <c r="E9" s="12"/>
      <c r="F9" s="6"/>
      <c r="G9" s="22" t="s">
        <v>32</v>
      </c>
      <c r="H9" s="6" t="s">
        <v>33</v>
      </c>
      <c r="I9" s="8">
        <v>591.55999999999995</v>
      </c>
      <c r="J9" s="39"/>
      <c r="K9" s="4" t="s">
        <v>34</v>
      </c>
      <c r="L9" s="13">
        <v>0</v>
      </c>
      <c r="M9" s="4" t="s">
        <v>35</v>
      </c>
      <c r="N9" s="6">
        <v>3</v>
      </c>
      <c r="O9" s="15" t="s">
        <v>36</v>
      </c>
      <c r="P9" s="6"/>
      <c r="Q9" s="22" t="s">
        <v>37</v>
      </c>
      <c r="R9" s="13">
        <v>12</v>
      </c>
      <c r="S9" s="4" t="s">
        <v>38</v>
      </c>
      <c r="T9" s="6">
        <v>21</v>
      </c>
      <c r="U9" s="152" t="s">
        <v>39</v>
      </c>
      <c r="V9" s="129">
        <v>43.2</v>
      </c>
      <c r="W9" s="7" t="s">
        <v>40</v>
      </c>
      <c r="X9" s="12"/>
      <c r="Y9" s="6"/>
      <c r="Z9" s="4"/>
      <c r="AA9" s="84" t="s">
        <v>8</v>
      </c>
      <c r="AB9" s="85" t="s">
        <v>41</v>
      </c>
    </row>
    <row r="10" spans="2:28">
      <c r="B10" s="10"/>
      <c r="C10" s="4"/>
      <c r="D10" s="17"/>
      <c r="E10" s="12"/>
      <c r="F10" s="6"/>
      <c r="G10" s="22" t="s">
        <v>42</v>
      </c>
      <c r="H10" s="6" t="s">
        <v>43</v>
      </c>
      <c r="I10" s="8">
        <v>448</v>
      </c>
      <c r="J10" s="39"/>
      <c r="K10" s="4" t="s">
        <v>44</v>
      </c>
      <c r="L10" s="13"/>
      <c r="M10" s="6"/>
      <c r="N10" s="6"/>
      <c r="O10" s="15" t="s">
        <v>45</v>
      </c>
      <c r="P10" s="6">
        <v>50</v>
      </c>
      <c r="Q10" s="22" t="s">
        <v>46</v>
      </c>
      <c r="R10" s="13">
        <v>6</v>
      </c>
      <c r="S10" s="4" t="s">
        <v>47</v>
      </c>
      <c r="T10" s="6">
        <v>6</v>
      </c>
      <c r="U10" s="11" t="s">
        <v>48</v>
      </c>
      <c r="V10" s="6">
        <v>6.36</v>
      </c>
      <c r="W10" s="7"/>
      <c r="X10" s="12"/>
      <c r="Y10" s="6"/>
      <c r="Z10" s="4"/>
      <c r="AA10" s="84" t="s">
        <v>49</v>
      </c>
      <c r="AB10" s="85" t="s">
        <v>50</v>
      </c>
    </row>
    <row r="11" spans="2:28" ht="17.100000000000001" thickBot="1">
      <c r="B11" s="10"/>
      <c r="C11" s="4"/>
      <c r="D11" s="6"/>
      <c r="E11" s="12"/>
      <c r="F11" s="6"/>
      <c r="G11" s="21" t="s">
        <v>51</v>
      </c>
      <c r="H11" s="6" t="s">
        <v>52</v>
      </c>
      <c r="I11" s="8">
        <v>480.5</v>
      </c>
      <c r="J11" s="39" t="s">
        <v>53</v>
      </c>
      <c r="K11" s="4" t="s">
        <v>54</v>
      </c>
      <c r="L11" s="13">
        <v>31.5</v>
      </c>
      <c r="M11" s="6"/>
      <c r="N11" s="6"/>
      <c r="O11" s="15"/>
      <c r="P11" s="23">
        <v>5.8</v>
      </c>
      <c r="Q11" s="6" t="s">
        <v>55</v>
      </c>
      <c r="R11" s="13">
        <v>7</v>
      </c>
      <c r="S11" s="4"/>
      <c r="T11" s="6"/>
      <c r="U11" s="11" t="s">
        <v>56</v>
      </c>
      <c r="V11" s="6">
        <v>2.7</v>
      </c>
      <c r="W11" s="7"/>
      <c r="X11" s="12"/>
      <c r="Y11" s="6"/>
      <c r="Z11" s="4"/>
      <c r="AA11" s="84" t="s">
        <v>10</v>
      </c>
      <c r="AB11" s="85" t="s">
        <v>57</v>
      </c>
    </row>
    <row r="12" spans="2:28" ht="17.100000000000001" thickBot="1">
      <c r="B12" s="10"/>
      <c r="C12" s="199" t="s">
        <v>58</v>
      </c>
      <c r="D12" s="200"/>
      <c r="E12" s="12"/>
      <c r="F12" s="6"/>
      <c r="G12" s="22" t="s">
        <v>59</v>
      </c>
      <c r="H12" s="6" t="s">
        <v>60</v>
      </c>
      <c r="I12" s="8">
        <v>489.5</v>
      </c>
      <c r="J12" s="39" t="s">
        <v>61</v>
      </c>
      <c r="K12" s="4" t="s">
        <v>62</v>
      </c>
      <c r="L12" s="13">
        <v>48.58</v>
      </c>
      <c r="M12" s="6"/>
      <c r="N12" s="6"/>
      <c r="O12" s="15"/>
      <c r="P12" s="23">
        <v>9.3000000000000007</v>
      </c>
      <c r="Q12" s="6" t="s">
        <v>63</v>
      </c>
      <c r="R12" s="13">
        <v>1</v>
      </c>
      <c r="S12" s="4"/>
      <c r="T12" s="6"/>
      <c r="U12" s="11" t="s">
        <v>64</v>
      </c>
      <c r="V12" s="6">
        <v>5</v>
      </c>
      <c r="W12" s="7"/>
      <c r="X12" s="12"/>
      <c r="Y12" s="6"/>
      <c r="Z12" s="4"/>
      <c r="AA12" s="122" t="s">
        <v>65</v>
      </c>
      <c r="AB12" s="123" t="s">
        <v>66</v>
      </c>
    </row>
    <row r="13" spans="2:28">
      <c r="B13" s="10"/>
      <c r="C13" s="53" t="s">
        <v>67</v>
      </c>
      <c r="D13" s="54">
        <v>270</v>
      </c>
      <c r="E13" s="75"/>
      <c r="F13" s="5"/>
      <c r="G13" s="44"/>
      <c r="H13" s="6"/>
      <c r="I13" s="8"/>
      <c r="J13" s="39"/>
      <c r="K13" s="4" t="s">
        <v>68</v>
      </c>
      <c r="L13" s="13">
        <v>6</v>
      </c>
      <c r="M13" s="6"/>
      <c r="N13" s="6"/>
      <c r="O13" s="15"/>
      <c r="P13" s="6">
        <v>14</v>
      </c>
      <c r="Q13" s="22" t="s">
        <v>69</v>
      </c>
      <c r="R13" s="13">
        <v>25</v>
      </c>
      <c r="S13" s="4"/>
      <c r="T13" s="6"/>
      <c r="U13" s="11"/>
      <c r="V13" s="6"/>
      <c r="W13" s="7"/>
      <c r="X13" s="12"/>
      <c r="Y13" s="6"/>
      <c r="Z13" s="4"/>
    </row>
    <row r="14" spans="2:28">
      <c r="B14" s="10"/>
      <c r="C14" s="53" t="s">
        <v>70</v>
      </c>
      <c r="D14" s="12">
        <f>I26</f>
        <v>1230</v>
      </c>
      <c r="E14" s="76"/>
      <c r="F14" s="17"/>
      <c r="G14" s="38"/>
      <c r="H14" s="6"/>
      <c r="I14" s="16"/>
      <c r="J14" s="35" t="s">
        <v>71</v>
      </c>
      <c r="K14" s="4" t="s">
        <v>72</v>
      </c>
      <c r="L14" s="126">
        <v>36</v>
      </c>
      <c r="M14" s="6"/>
      <c r="N14" s="6"/>
      <c r="O14" s="15"/>
      <c r="P14" s="6">
        <v>17</v>
      </c>
      <c r="Q14" s="22" t="s">
        <v>73</v>
      </c>
      <c r="R14" s="126">
        <v>42.5</v>
      </c>
      <c r="S14" s="4"/>
      <c r="T14" s="6"/>
      <c r="U14" s="11" t="s">
        <v>74</v>
      </c>
      <c r="V14" s="6">
        <v>11</v>
      </c>
      <c r="W14" s="7"/>
      <c r="X14" s="12"/>
      <c r="Y14" s="6"/>
      <c r="Z14" s="4"/>
      <c r="AA14" s="4"/>
      <c r="AB14" s="4"/>
    </row>
    <row r="15" spans="2:28" ht="15.75" thickBot="1">
      <c r="B15" s="10"/>
      <c r="C15" s="67" t="s">
        <v>20</v>
      </c>
      <c r="D15" s="68">
        <f>SUM(D13:D14)</f>
        <v>1500</v>
      </c>
      <c r="E15" s="77"/>
      <c r="F15" s="17"/>
      <c r="G15" s="38"/>
      <c r="H15" s="17"/>
      <c r="I15" s="16"/>
      <c r="J15" s="35" t="s">
        <v>75</v>
      </c>
      <c r="K15" s="4" t="s">
        <v>68</v>
      </c>
      <c r="L15" s="13">
        <v>6</v>
      </c>
      <c r="M15" s="6"/>
      <c r="N15" s="6"/>
      <c r="O15" s="15"/>
      <c r="P15" s="6">
        <v>7</v>
      </c>
      <c r="Q15" s="22" t="s">
        <v>76</v>
      </c>
      <c r="R15" s="13">
        <v>2</v>
      </c>
      <c r="S15" s="4"/>
      <c r="T15" s="6"/>
      <c r="U15" s="11" t="s">
        <v>74</v>
      </c>
      <c r="V15" s="6">
        <v>7.21</v>
      </c>
      <c r="W15" s="7"/>
      <c r="X15" s="12"/>
      <c r="Y15" s="6"/>
      <c r="Z15" s="4"/>
      <c r="AA15" s="4"/>
      <c r="AB15" s="4"/>
    </row>
    <row r="16" spans="2:28" ht="15.75" thickBot="1">
      <c r="B16" s="10"/>
      <c r="C16" s="69"/>
      <c r="D16" s="69"/>
      <c r="E16" s="76"/>
      <c r="F16" s="17"/>
      <c r="G16" s="38"/>
      <c r="H16" s="17"/>
      <c r="I16" s="16"/>
      <c r="J16" s="127">
        <v>45320</v>
      </c>
      <c r="K16" s="4" t="s">
        <v>68</v>
      </c>
      <c r="L16" s="13">
        <v>6</v>
      </c>
      <c r="M16" s="6"/>
      <c r="N16" s="6"/>
      <c r="O16" s="15"/>
      <c r="P16" s="6">
        <v>30</v>
      </c>
      <c r="Q16" s="22"/>
      <c r="R16" s="13"/>
      <c r="S16" s="4"/>
      <c r="T16" s="6"/>
      <c r="U16" s="11" t="s">
        <v>74</v>
      </c>
      <c r="V16" s="6">
        <v>4.34</v>
      </c>
      <c r="W16" s="7"/>
      <c r="X16" s="12"/>
      <c r="Y16" s="6"/>
      <c r="Z16" s="4"/>
      <c r="AA16" s="4"/>
      <c r="AB16" s="4"/>
    </row>
    <row r="17" spans="2:28" ht="15">
      <c r="B17" s="10"/>
      <c r="C17" s="199" t="s">
        <v>40</v>
      </c>
      <c r="D17" s="200"/>
      <c r="E17" s="76"/>
      <c r="F17" s="17"/>
      <c r="G17" s="38"/>
      <c r="H17" s="6"/>
      <c r="I17" s="8"/>
      <c r="J17" s="39"/>
      <c r="K17" s="4"/>
      <c r="L17" s="13"/>
      <c r="M17" s="6"/>
      <c r="N17" s="6"/>
      <c r="O17" s="15"/>
      <c r="P17" s="6">
        <v>13.37</v>
      </c>
      <c r="Q17" s="22"/>
      <c r="R17" s="13"/>
      <c r="S17" s="4"/>
      <c r="T17" s="6"/>
      <c r="U17" s="11"/>
      <c r="V17" s="6"/>
      <c r="W17" s="7"/>
      <c r="X17" s="12"/>
      <c r="Y17" s="6"/>
      <c r="Z17" s="4"/>
      <c r="AA17" s="4"/>
      <c r="AB17" s="4"/>
    </row>
    <row r="18" spans="2:28" ht="15">
      <c r="B18" s="10"/>
      <c r="C18" s="53" t="s">
        <v>77</v>
      </c>
      <c r="D18" s="54"/>
      <c r="E18" s="12"/>
      <c r="F18" s="6"/>
      <c r="G18" s="22"/>
      <c r="H18" s="5"/>
      <c r="I18" s="18"/>
      <c r="J18" s="40"/>
      <c r="K18" s="4"/>
      <c r="L18" s="13"/>
      <c r="M18" s="6"/>
      <c r="N18" s="6"/>
      <c r="O18" s="15"/>
      <c r="P18" s="6">
        <v>20</v>
      </c>
      <c r="Q18" s="22"/>
      <c r="R18" s="13"/>
      <c r="S18" s="4"/>
      <c r="T18" s="6"/>
      <c r="U18" s="11"/>
      <c r="V18" s="6"/>
      <c r="W18" s="7"/>
      <c r="X18" s="12"/>
      <c r="Y18" s="6"/>
      <c r="Z18" s="4"/>
      <c r="AA18" s="4"/>
      <c r="AB18" s="4"/>
    </row>
    <row r="19" spans="2:28" ht="15">
      <c r="B19" s="10"/>
      <c r="C19" s="53"/>
      <c r="D19" s="12"/>
      <c r="E19" s="75"/>
      <c r="F19" s="5"/>
      <c r="G19" s="37"/>
      <c r="H19" s="17"/>
      <c r="I19" s="16"/>
      <c r="J19" s="35"/>
      <c r="K19" s="4"/>
      <c r="L19" s="13"/>
      <c r="M19" s="6"/>
      <c r="N19" s="6"/>
      <c r="O19" s="15"/>
      <c r="P19" s="6">
        <v>4</v>
      </c>
      <c r="Q19" s="22"/>
      <c r="R19" s="13"/>
      <c r="S19" s="4"/>
      <c r="T19" s="6"/>
      <c r="U19" s="11"/>
      <c r="V19" s="16"/>
      <c r="W19" s="28"/>
      <c r="X19" s="19"/>
      <c r="Y19" s="16"/>
      <c r="Z19" s="4"/>
      <c r="AA19" s="4"/>
      <c r="AB19" s="4"/>
    </row>
    <row r="20" spans="2:28" ht="15">
      <c r="B20" s="10"/>
      <c r="C20" s="56"/>
      <c r="D20" s="57"/>
      <c r="E20" s="76"/>
      <c r="F20" s="17"/>
      <c r="G20" s="38"/>
      <c r="H20" s="17"/>
      <c r="I20" s="16"/>
      <c r="J20" s="35"/>
      <c r="K20" s="4"/>
      <c r="L20" s="13"/>
      <c r="M20" s="6"/>
      <c r="N20" s="6"/>
      <c r="O20" s="15"/>
      <c r="P20" s="6"/>
      <c r="Q20" s="22"/>
      <c r="R20" s="13"/>
      <c r="S20" s="4"/>
      <c r="T20" s="6"/>
      <c r="U20" s="11"/>
      <c r="V20" s="6"/>
      <c r="W20" s="7"/>
      <c r="X20" s="12"/>
      <c r="Y20" s="6"/>
      <c r="Z20" s="4"/>
      <c r="AA20" s="4"/>
      <c r="AB20" s="4"/>
    </row>
    <row r="21" spans="2:28" ht="15">
      <c r="B21" s="10"/>
      <c r="C21" s="58"/>
      <c r="D21" s="12"/>
      <c r="E21" s="76"/>
      <c r="F21" s="17"/>
      <c r="G21" s="38"/>
      <c r="H21" s="17"/>
      <c r="I21" s="16"/>
      <c r="J21" s="35"/>
      <c r="K21" s="4"/>
      <c r="L21" s="13"/>
      <c r="M21" s="6"/>
      <c r="N21" s="6"/>
      <c r="O21" s="15"/>
      <c r="P21" s="6"/>
      <c r="Q21" s="22"/>
      <c r="R21" s="13"/>
      <c r="S21" s="4"/>
      <c r="T21" s="6"/>
      <c r="U21" s="11"/>
      <c r="V21" s="6"/>
      <c r="W21" s="7"/>
      <c r="X21" s="12"/>
      <c r="Y21" s="6"/>
      <c r="Z21" s="4"/>
      <c r="AA21" s="4"/>
      <c r="AB21" s="4"/>
    </row>
    <row r="22" spans="2:28" ht="15">
      <c r="B22" s="10"/>
      <c r="C22" s="58"/>
      <c r="D22" s="59"/>
      <c r="E22" s="76"/>
      <c r="F22" s="17"/>
      <c r="G22" s="38"/>
      <c r="H22" s="17"/>
      <c r="I22" s="16"/>
      <c r="J22" s="35"/>
      <c r="K22" s="4"/>
      <c r="L22" s="13"/>
      <c r="M22" s="6"/>
      <c r="N22" s="6"/>
      <c r="O22" s="15"/>
      <c r="P22" s="6"/>
      <c r="Q22" s="22"/>
      <c r="R22" s="13"/>
      <c r="S22" s="4"/>
      <c r="T22" s="6"/>
      <c r="U22" s="11"/>
      <c r="V22" s="6"/>
      <c r="W22" s="7"/>
      <c r="X22" s="12"/>
      <c r="Y22" s="6"/>
      <c r="Z22" s="4"/>
      <c r="AA22" s="4"/>
      <c r="AB22" s="4"/>
    </row>
    <row r="23" spans="2:28" ht="15">
      <c r="B23" s="10"/>
      <c r="C23" s="60"/>
      <c r="D23" s="61"/>
      <c r="E23" s="76"/>
      <c r="F23" s="17"/>
      <c r="G23" s="38"/>
      <c r="H23" s="4"/>
      <c r="I23" s="14"/>
      <c r="J23" s="41"/>
      <c r="K23" s="4"/>
      <c r="L23" s="13"/>
      <c r="M23" s="6"/>
      <c r="N23" s="6"/>
      <c r="O23" s="15"/>
      <c r="P23" s="6"/>
      <c r="Q23" s="22"/>
      <c r="R23" s="13"/>
      <c r="S23" s="4"/>
      <c r="T23" s="6"/>
      <c r="U23" s="11"/>
      <c r="V23" s="6"/>
      <c r="W23" s="7"/>
      <c r="X23" s="12"/>
      <c r="Y23" s="6"/>
      <c r="Z23" s="4"/>
      <c r="AA23" s="4"/>
      <c r="AB23" s="4"/>
    </row>
    <row r="24" spans="2:28" ht="15.75" thickBot="1">
      <c r="B24" s="10"/>
      <c r="C24" s="67" t="s">
        <v>20</v>
      </c>
      <c r="D24" s="68">
        <f>SUM(D18:D23)</f>
        <v>0</v>
      </c>
      <c r="E24" s="76"/>
      <c r="F24" s="17"/>
      <c r="G24" s="38"/>
      <c r="H24" s="4"/>
      <c r="I24" s="14"/>
      <c r="J24" s="41"/>
      <c r="K24" s="4"/>
      <c r="L24" s="13"/>
      <c r="M24" s="6"/>
      <c r="N24" s="6"/>
      <c r="O24" s="15"/>
      <c r="P24" s="6"/>
      <c r="Q24" s="22"/>
      <c r="R24" s="13"/>
      <c r="S24" s="4"/>
      <c r="T24" s="6"/>
      <c r="U24" s="11"/>
      <c r="V24" s="6"/>
      <c r="W24" s="7"/>
      <c r="X24" s="12"/>
      <c r="Y24" s="6"/>
      <c r="Z24" s="4"/>
      <c r="AA24" s="4"/>
      <c r="AB24" s="4"/>
    </row>
    <row r="25" spans="2:28" ht="15.75" thickBot="1">
      <c r="B25" s="10"/>
      <c r="C25" s="69"/>
      <c r="D25" s="69"/>
      <c r="E25" s="76"/>
      <c r="F25" s="17"/>
      <c r="G25" s="38"/>
      <c r="H25" s="97" t="s">
        <v>20</v>
      </c>
      <c r="I25" s="20">
        <f>SUM(I8:I24)</f>
        <v>3057.13</v>
      </c>
      <c r="J25" s="41"/>
      <c r="K25" s="4"/>
      <c r="L25" s="13"/>
      <c r="M25" s="6"/>
      <c r="N25" s="6"/>
      <c r="O25" s="15"/>
      <c r="P25" s="6"/>
      <c r="Q25" s="22"/>
      <c r="R25" s="13"/>
      <c r="S25" s="4"/>
      <c r="T25" s="6"/>
      <c r="U25" s="11"/>
      <c r="V25" s="6"/>
      <c r="W25" s="7"/>
      <c r="X25" s="12"/>
      <c r="Y25" s="6"/>
      <c r="Z25" s="4"/>
      <c r="AA25" s="4"/>
      <c r="AB25" s="4"/>
    </row>
    <row r="26" spans="2:28">
      <c r="B26" s="10"/>
      <c r="C26" s="199" t="s">
        <v>78</v>
      </c>
      <c r="D26" s="200"/>
      <c r="E26" s="55"/>
      <c r="F26" s="4"/>
      <c r="G26" s="21"/>
      <c r="H26" s="4" t="s">
        <v>79</v>
      </c>
      <c r="I26" s="8">
        <v>1230</v>
      </c>
      <c r="J26" s="41"/>
      <c r="K26" s="4"/>
      <c r="L26" s="13"/>
      <c r="M26" s="6"/>
      <c r="N26" s="6"/>
      <c r="O26" s="15"/>
      <c r="P26" s="6"/>
      <c r="Q26" s="22"/>
      <c r="R26" s="13"/>
      <c r="S26" s="4"/>
      <c r="T26" s="6"/>
      <c r="U26" s="11"/>
      <c r="V26" s="6"/>
      <c r="W26" s="7"/>
      <c r="X26" s="12"/>
      <c r="Y26" s="6"/>
      <c r="Z26" s="4"/>
      <c r="AA26" s="6"/>
      <c r="AB26" s="4"/>
    </row>
    <row r="27" spans="2:28">
      <c r="B27" s="10"/>
      <c r="C27" s="53" t="s">
        <v>67</v>
      </c>
      <c r="D27" s="54"/>
      <c r="E27" s="55"/>
      <c r="F27" s="4"/>
      <c r="G27" s="21"/>
      <c r="H27" s="4" t="s">
        <v>80</v>
      </c>
      <c r="I27" s="8">
        <v>6.6</v>
      </c>
      <c r="J27" s="39"/>
      <c r="K27" s="4"/>
      <c r="L27" s="13"/>
      <c r="M27" s="6"/>
      <c r="N27" s="6"/>
      <c r="O27" s="15"/>
      <c r="P27" s="6"/>
      <c r="Q27" s="22"/>
      <c r="R27" s="13"/>
      <c r="S27" s="4"/>
      <c r="T27" s="6"/>
      <c r="U27" s="11"/>
      <c r="V27" s="6"/>
      <c r="W27" s="7"/>
      <c r="X27" s="12"/>
      <c r="Y27" s="6"/>
      <c r="Z27" s="4"/>
      <c r="AA27" s="4"/>
      <c r="AB27" s="4"/>
    </row>
    <row r="28" spans="2:28">
      <c r="B28" s="10"/>
      <c r="C28" s="53" t="s">
        <v>70</v>
      </c>
      <c r="D28" s="12"/>
      <c r="E28" s="55"/>
      <c r="F28" s="4"/>
      <c r="G28" s="21"/>
      <c r="H28" s="124" t="s">
        <v>11</v>
      </c>
      <c r="I28" s="125">
        <f>W31</f>
        <v>0</v>
      </c>
      <c r="J28" s="39"/>
      <c r="K28" s="4"/>
      <c r="L28" s="13"/>
      <c r="M28" s="6"/>
      <c r="N28" s="6"/>
      <c r="O28" s="15"/>
      <c r="P28" s="6"/>
      <c r="Q28" s="22"/>
      <c r="R28" s="13"/>
      <c r="S28" s="4"/>
      <c r="T28" s="6"/>
      <c r="U28" s="11"/>
      <c r="V28" s="6"/>
      <c r="W28" s="7"/>
      <c r="X28" s="12"/>
      <c r="Y28" s="6"/>
      <c r="Z28" s="4"/>
      <c r="AA28" s="4"/>
      <c r="AB28" s="4"/>
    </row>
    <row r="29" spans="2:28" ht="15">
      <c r="B29" s="10"/>
      <c r="C29" s="56"/>
      <c r="D29" s="57"/>
      <c r="E29" s="55"/>
      <c r="F29" s="4"/>
      <c r="G29" s="21"/>
      <c r="H29" s="4" t="s">
        <v>81</v>
      </c>
      <c r="I29" s="8">
        <v>250</v>
      </c>
      <c r="J29" s="39"/>
      <c r="K29" s="4"/>
      <c r="L29" s="13"/>
      <c r="M29" s="6"/>
      <c r="N29" s="6"/>
      <c r="O29" s="15"/>
      <c r="P29" s="6"/>
      <c r="Q29" s="22"/>
      <c r="R29" s="13"/>
      <c r="S29" s="4"/>
      <c r="T29" s="6"/>
      <c r="U29" s="11"/>
      <c r="V29" s="6"/>
      <c r="W29" s="7"/>
      <c r="X29" s="12"/>
      <c r="Y29" s="6"/>
      <c r="Z29" s="4"/>
    </row>
    <row r="30" spans="2:28" ht="15">
      <c r="B30" s="10"/>
      <c r="C30" s="58"/>
      <c r="D30" s="12"/>
      <c r="E30" s="55"/>
      <c r="F30" s="4"/>
      <c r="G30" s="21"/>
      <c r="H30" s="4" t="s">
        <v>82</v>
      </c>
      <c r="I30" s="8">
        <v>100</v>
      </c>
      <c r="J30" s="39"/>
      <c r="K30" s="4"/>
      <c r="L30" s="13"/>
      <c r="M30" s="6"/>
      <c r="N30" s="6"/>
      <c r="O30" s="15"/>
      <c r="P30" s="6"/>
      <c r="Q30" s="22"/>
      <c r="R30" s="13"/>
      <c r="S30" s="4"/>
      <c r="T30" s="6"/>
      <c r="U30" s="11"/>
      <c r="V30" s="6"/>
      <c r="W30" s="7"/>
      <c r="X30" s="12"/>
      <c r="Y30" s="6"/>
      <c r="Z30" s="4"/>
    </row>
    <row r="31" spans="2:28">
      <c r="B31" s="10"/>
      <c r="C31" s="58"/>
      <c r="D31" s="59"/>
      <c r="E31" s="55"/>
      <c r="F31" s="4"/>
      <c r="G31" s="208" t="s">
        <v>83</v>
      </c>
      <c r="H31" s="209"/>
      <c r="I31" s="81">
        <f>I25-I26-I27-I28-I29-I30</f>
        <v>1470.5300000000002</v>
      </c>
      <c r="J31" s="210">
        <f>SUM(L8:L30)</f>
        <v>634.08000000000004</v>
      </c>
      <c r="K31" s="211"/>
      <c r="L31" s="212"/>
      <c r="M31" s="213">
        <f>SUM(N8:N30)</f>
        <v>31</v>
      </c>
      <c r="N31" s="214"/>
      <c r="O31" s="201">
        <f>SUM(P8:P30)</f>
        <v>212.96</v>
      </c>
      <c r="P31" s="202"/>
      <c r="Q31" s="203">
        <f>SUM(R8:R30)</f>
        <v>106.85</v>
      </c>
      <c r="R31" s="204"/>
      <c r="S31" s="205">
        <f>SUM(T8:T30)</f>
        <v>38</v>
      </c>
      <c r="T31" s="206"/>
      <c r="U31" s="205">
        <f>SUM(V8:V30)</f>
        <v>150.31</v>
      </c>
      <c r="V31" s="207"/>
      <c r="W31" s="189">
        <f>SUM(X8:X30)</f>
        <v>0</v>
      </c>
      <c r="X31" s="190"/>
      <c r="Y31" s="6"/>
      <c r="Z31" s="4"/>
    </row>
    <row r="32" spans="2:28" ht="17.100000000000001" thickBot="1">
      <c r="B32" s="10"/>
      <c r="C32" s="60"/>
      <c r="D32" s="61"/>
      <c r="E32" s="55"/>
      <c r="F32" s="4"/>
      <c r="G32" s="184" t="s">
        <v>31</v>
      </c>
      <c r="H32" s="185"/>
      <c r="I32" s="43">
        <f>I31-J33</f>
        <v>297.33000000000015</v>
      </c>
      <c r="J32" s="186">
        <f>SUM(J31:P31)</f>
        <v>878.04000000000008</v>
      </c>
      <c r="K32" s="187"/>
      <c r="L32" s="187"/>
      <c r="M32" s="187"/>
      <c r="N32" s="187"/>
      <c r="O32" s="187"/>
      <c r="P32" s="188"/>
      <c r="Q32" s="193">
        <f>Q31+S31+U31</f>
        <v>295.15999999999997</v>
      </c>
      <c r="R32" s="194"/>
      <c r="S32" s="194"/>
      <c r="T32" s="194"/>
      <c r="U32" s="194"/>
      <c r="V32" s="195"/>
      <c r="W32" s="189"/>
      <c r="X32" s="190"/>
      <c r="Y32" s="6"/>
      <c r="Z32" s="4"/>
    </row>
    <row r="33" spans="2:26" ht="21" thickTop="1" thickBot="1">
      <c r="B33" s="10"/>
      <c r="C33" s="67" t="s">
        <v>20</v>
      </c>
      <c r="D33" s="68">
        <f>SUM(D27:D32)</f>
        <v>0</v>
      </c>
      <c r="E33" s="55"/>
      <c r="F33" s="4"/>
      <c r="G33" s="4"/>
      <c r="H33" s="6"/>
      <c r="I33" s="8"/>
      <c r="J33" s="196">
        <f>J32+Q32</f>
        <v>1173.2</v>
      </c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8"/>
      <c r="W33" s="191"/>
      <c r="X33" s="192"/>
      <c r="Y33" s="6"/>
      <c r="Z33" s="4"/>
    </row>
    <row r="34" spans="2:26" ht="15.75" thickBot="1">
      <c r="B34" s="10"/>
      <c r="C34" s="70"/>
      <c r="D34" s="70"/>
      <c r="E34" s="55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2:26" ht="15">
      <c r="B35" s="1"/>
      <c r="C35" s="180" t="s">
        <v>84</v>
      </c>
      <c r="D35" s="181"/>
      <c r="E35" s="2"/>
    </row>
    <row r="36" spans="2:26" ht="15">
      <c r="B36" s="1"/>
      <c r="C36" s="182" t="s">
        <v>85</v>
      </c>
      <c r="D36" s="183"/>
      <c r="E36" s="2"/>
    </row>
    <row r="37" spans="2:26">
      <c r="B37" s="1"/>
      <c r="C37" s="60" t="s">
        <v>67</v>
      </c>
      <c r="D37" s="62"/>
      <c r="E37" s="2"/>
    </row>
    <row r="38" spans="2:26">
      <c r="B38" s="1"/>
      <c r="C38" s="60" t="s">
        <v>70</v>
      </c>
      <c r="D38" s="62">
        <f>I29</f>
        <v>250</v>
      </c>
      <c r="E38" s="2"/>
    </row>
    <row r="39" spans="2:26" ht="15">
      <c r="B39" s="1"/>
      <c r="C39" s="65" t="s">
        <v>20</v>
      </c>
      <c r="D39" s="66">
        <f>SUM(D37:D38)</f>
        <v>250</v>
      </c>
      <c r="E39" s="2"/>
    </row>
    <row r="40" spans="2:26" ht="15">
      <c r="B40" s="1"/>
      <c r="C40" s="182" t="s">
        <v>86</v>
      </c>
      <c r="D40" s="183"/>
      <c r="E40" s="2"/>
    </row>
    <row r="41" spans="2:26">
      <c r="B41" s="1"/>
      <c r="C41" s="60" t="s">
        <v>67</v>
      </c>
      <c r="D41" s="62"/>
      <c r="E41" s="2"/>
    </row>
    <row r="42" spans="2:26">
      <c r="B42" s="1"/>
      <c r="C42" s="60" t="s">
        <v>70</v>
      </c>
      <c r="D42" s="62">
        <f>I30</f>
        <v>100</v>
      </c>
      <c r="E42" s="2"/>
    </row>
    <row r="43" spans="2:26" ht="15">
      <c r="B43" s="1"/>
      <c r="C43" s="65" t="s">
        <v>20</v>
      </c>
      <c r="D43" s="66">
        <f>SUM(D41:D42)</f>
        <v>100</v>
      </c>
      <c r="E43" s="2"/>
    </row>
    <row r="44" spans="2:26" ht="15.75" thickBot="1">
      <c r="B44" s="1"/>
      <c r="C44" s="63" t="s">
        <v>20</v>
      </c>
      <c r="D44" s="64">
        <f>D43+D39</f>
        <v>350</v>
      </c>
      <c r="E44" s="2"/>
    </row>
    <row r="45" spans="2:26" ht="15.75" thickBot="1">
      <c r="B45" s="78"/>
      <c r="C45" s="79"/>
      <c r="D45" s="79"/>
      <c r="E45" s="80"/>
    </row>
    <row r="46" spans="2:26" ht="15"/>
    <row r="47" spans="2:26" ht="15"/>
    <row r="48" spans="2:26" ht="15"/>
    <row r="49" ht="15"/>
    <row r="50" ht="15"/>
    <row r="51" ht="15"/>
    <row r="52" ht="15"/>
  </sheetData>
  <mergeCells count="29">
    <mergeCell ref="C12:D12"/>
    <mergeCell ref="C5:D5"/>
    <mergeCell ref="G5:X5"/>
    <mergeCell ref="AA5:AB5"/>
    <mergeCell ref="G6:I6"/>
    <mergeCell ref="J6:L6"/>
    <mergeCell ref="M6:N6"/>
    <mergeCell ref="O6:P6"/>
    <mergeCell ref="Q6:R6"/>
    <mergeCell ref="S6:T6"/>
    <mergeCell ref="U6:V6"/>
    <mergeCell ref="W6:X6"/>
    <mergeCell ref="W31:X33"/>
    <mergeCell ref="Q32:V32"/>
    <mergeCell ref="J33:V33"/>
    <mergeCell ref="C17:D17"/>
    <mergeCell ref="C26:D26"/>
    <mergeCell ref="O31:P31"/>
    <mergeCell ref="Q31:R31"/>
    <mergeCell ref="S31:T31"/>
    <mergeCell ref="U31:V31"/>
    <mergeCell ref="G31:H31"/>
    <mergeCell ref="J31:L31"/>
    <mergeCell ref="M31:N31"/>
    <mergeCell ref="C35:D35"/>
    <mergeCell ref="C36:D36"/>
    <mergeCell ref="C40:D40"/>
    <mergeCell ref="G32:H32"/>
    <mergeCell ref="J32:P3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86F3C-E5B2-8740-9DE0-FC8529809F38}">
  <sheetPr>
    <tabColor theme="9" tint="-0.249977111117893"/>
  </sheetPr>
  <dimension ref="B2:AB44"/>
  <sheetViews>
    <sheetView topLeftCell="H1" zoomScale="89" workbookViewId="0">
      <selection activeCell="S17" sqref="S17"/>
    </sheetView>
  </sheetViews>
  <sheetFormatPr defaultColWidth="10.875" defaultRowHeight="15.95"/>
  <cols>
    <col min="3" max="3" width="21.875" customWidth="1"/>
    <col min="4" max="4" width="12.375" customWidth="1"/>
    <col min="8" max="8" width="22.125" customWidth="1"/>
    <col min="11" max="11" width="16" customWidth="1"/>
    <col min="13" max="13" width="16" customWidth="1"/>
    <col min="15" max="15" width="25.375" customWidth="1"/>
    <col min="17" max="17" width="21.375" customWidth="1"/>
    <col min="19" max="19" width="19.625" customWidth="1"/>
    <col min="21" max="21" width="20" customWidth="1"/>
    <col min="28" max="28" width="76.125" customWidth="1"/>
  </cols>
  <sheetData>
    <row r="2" spans="2:28" ht="15.75" thickBot="1"/>
    <row r="3" spans="2:28" ht="15.75" thickBot="1">
      <c r="B3" s="71"/>
      <c r="C3" s="72"/>
      <c r="D3" s="72"/>
      <c r="E3" s="7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2:28" ht="21.95" thickBot="1">
      <c r="B4" s="10"/>
      <c r="C4" s="215" t="s">
        <v>0</v>
      </c>
      <c r="D4" s="216"/>
      <c r="E4" s="74"/>
      <c r="F4" s="3"/>
      <c r="G4" s="217" t="s">
        <v>87</v>
      </c>
      <c r="H4" s="218"/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9"/>
      <c r="Y4" s="33"/>
      <c r="Z4" s="4"/>
      <c r="AA4" s="220" t="s">
        <v>2</v>
      </c>
      <c r="AB4" s="221"/>
    </row>
    <row r="5" spans="2:28" ht="15">
      <c r="B5" s="10"/>
      <c r="C5" s="45" t="s">
        <v>3</v>
      </c>
      <c r="D5" s="46">
        <f>J31</f>
        <v>982.98</v>
      </c>
      <c r="E5" s="75"/>
      <c r="F5" s="5"/>
      <c r="G5" s="222" t="s">
        <v>4</v>
      </c>
      <c r="H5" s="223"/>
      <c r="I5" s="224"/>
      <c r="J5" s="225" t="s">
        <v>5</v>
      </c>
      <c r="K5" s="226"/>
      <c r="L5" s="227"/>
      <c r="M5" s="228" t="s">
        <v>6</v>
      </c>
      <c r="N5" s="229"/>
      <c r="O5" s="230" t="s">
        <v>7</v>
      </c>
      <c r="P5" s="231"/>
      <c r="Q5" s="232" t="s">
        <v>8</v>
      </c>
      <c r="R5" s="233"/>
      <c r="S5" s="234" t="s">
        <v>9</v>
      </c>
      <c r="T5" s="235"/>
      <c r="U5" s="236" t="s">
        <v>10</v>
      </c>
      <c r="V5" s="235"/>
      <c r="W5" s="237" t="s">
        <v>11</v>
      </c>
      <c r="X5" s="238"/>
      <c r="Y5" s="5"/>
      <c r="Z5" s="4"/>
      <c r="AA5" s="82" t="s">
        <v>5</v>
      </c>
      <c r="AB5" s="83" t="s">
        <v>12</v>
      </c>
    </row>
    <row r="6" spans="2:28">
      <c r="B6" s="10"/>
      <c r="C6" s="47" t="s">
        <v>13</v>
      </c>
      <c r="D6" s="48">
        <f>Q31</f>
        <v>398.17</v>
      </c>
      <c r="E6" s="12"/>
      <c r="F6" s="6"/>
      <c r="G6" s="89" t="s">
        <v>14</v>
      </c>
      <c r="H6" s="36" t="s">
        <v>15</v>
      </c>
      <c r="I6" s="36" t="s">
        <v>16</v>
      </c>
      <c r="J6" s="86" t="s">
        <v>14</v>
      </c>
      <c r="K6" s="34" t="s">
        <v>17</v>
      </c>
      <c r="L6" s="87" t="s">
        <v>16</v>
      </c>
      <c r="M6" s="34" t="s">
        <v>17</v>
      </c>
      <c r="N6" s="34" t="s">
        <v>16</v>
      </c>
      <c r="O6" s="9" t="s">
        <v>17</v>
      </c>
      <c r="P6" s="34" t="s">
        <v>16</v>
      </c>
      <c r="Q6" s="88" t="s">
        <v>17</v>
      </c>
      <c r="R6" s="87" t="s">
        <v>16</v>
      </c>
      <c r="S6" s="34" t="s">
        <v>17</v>
      </c>
      <c r="T6" s="34" t="s">
        <v>16</v>
      </c>
      <c r="U6" s="9" t="s">
        <v>17</v>
      </c>
      <c r="V6" s="34" t="s">
        <v>16</v>
      </c>
      <c r="W6" s="111" t="s">
        <v>17</v>
      </c>
      <c r="X6" s="112" t="s">
        <v>16</v>
      </c>
      <c r="Y6" s="34"/>
      <c r="Z6" s="4"/>
      <c r="AA6" s="82" t="s">
        <v>18</v>
      </c>
      <c r="AB6" s="83" t="s">
        <v>19</v>
      </c>
    </row>
    <row r="7" spans="2:28">
      <c r="B7" s="10"/>
      <c r="C7" s="49" t="s">
        <v>20</v>
      </c>
      <c r="D7" s="50">
        <f>D6+D5</f>
        <v>1381.15</v>
      </c>
      <c r="E7" s="12"/>
      <c r="F7" s="6"/>
      <c r="G7" s="22"/>
      <c r="H7" s="6" t="s">
        <v>21</v>
      </c>
      <c r="I7" s="8">
        <v>296.33</v>
      </c>
      <c r="J7" s="39" t="s">
        <v>88</v>
      </c>
      <c r="K7" s="4" t="s">
        <v>23</v>
      </c>
      <c r="L7" s="13">
        <v>500</v>
      </c>
      <c r="M7" s="4"/>
      <c r="N7" s="13"/>
      <c r="O7" s="15" t="s">
        <v>25</v>
      </c>
      <c r="P7" s="6">
        <v>9.16</v>
      </c>
      <c r="Q7" s="22" t="s">
        <v>89</v>
      </c>
      <c r="R7" s="13">
        <v>1</v>
      </c>
      <c r="S7" s="4" t="s">
        <v>90</v>
      </c>
      <c r="T7" s="6">
        <v>19</v>
      </c>
      <c r="U7" s="11" t="s">
        <v>91</v>
      </c>
      <c r="V7" s="6">
        <v>10.5</v>
      </c>
      <c r="W7" s="7" t="s">
        <v>29</v>
      </c>
      <c r="X7" s="12"/>
      <c r="Y7" s="6"/>
      <c r="Z7" s="4"/>
      <c r="AA7" s="82" t="s">
        <v>7</v>
      </c>
      <c r="AB7" s="83" t="s">
        <v>30</v>
      </c>
    </row>
    <row r="8" spans="2:28" ht="17.100000000000001" thickBot="1">
      <c r="B8" s="10"/>
      <c r="C8" s="51" t="s">
        <v>31</v>
      </c>
      <c r="D8" s="52">
        <f>I31</f>
        <v>489.75999999999976</v>
      </c>
      <c r="E8" s="12"/>
      <c r="F8" s="6"/>
      <c r="G8" s="22" t="s">
        <v>88</v>
      </c>
      <c r="H8" s="6" t="s">
        <v>92</v>
      </c>
      <c r="I8" s="8">
        <v>480</v>
      </c>
      <c r="J8" s="39" t="s">
        <v>88</v>
      </c>
      <c r="K8" s="4" t="s">
        <v>93</v>
      </c>
      <c r="L8" s="13">
        <v>50</v>
      </c>
      <c r="M8" s="4"/>
      <c r="N8" s="6"/>
      <c r="O8" s="15" t="s">
        <v>36</v>
      </c>
      <c r="P8" s="6"/>
      <c r="Q8" s="22" t="s">
        <v>94</v>
      </c>
      <c r="R8" s="13">
        <v>20</v>
      </c>
      <c r="S8" s="4" t="s">
        <v>95</v>
      </c>
      <c r="T8" s="6">
        <v>9.99</v>
      </c>
      <c r="U8" s="11" t="s">
        <v>96</v>
      </c>
      <c r="V8" s="129">
        <v>24</v>
      </c>
      <c r="W8" s="7" t="s">
        <v>40</v>
      </c>
      <c r="X8" s="12"/>
      <c r="Y8" s="6"/>
      <c r="Z8" s="4"/>
      <c r="AA8" s="84" t="s">
        <v>8</v>
      </c>
      <c r="AB8" s="85" t="s">
        <v>41</v>
      </c>
    </row>
    <row r="9" spans="2:28">
      <c r="B9" s="10"/>
      <c r="C9" s="4"/>
      <c r="D9" s="17"/>
      <c r="E9" s="12"/>
      <c r="F9" s="6"/>
      <c r="G9" s="22" t="s">
        <v>97</v>
      </c>
      <c r="H9" s="6" t="s">
        <v>98</v>
      </c>
      <c r="I9" s="8">
        <v>480.49</v>
      </c>
      <c r="J9" s="39"/>
      <c r="K9" s="4" t="s">
        <v>44</v>
      </c>
      <c r="L9" s="13"/>
      <c r="M9" s="6"/>
      <c r="N9" s="6"/>
      <c r="O9" s="15" t="s">
        <v>45</v>
      </c>
      <c r="P9" s="6"/>
      <c r="Q9" s="22"/>
      <c r="R9" s="13"/>
      <c r="S9" s="4" t="s">
        <v>99</v>
      </c>
      <c r="T9" s="6">
        <v>22.1</v>
      </c>
      <c r="U9" s="11" t="s">
        <v>100</v>
      </c>
      <c r="V9" s="129">
        <v>15</v>
      </c>
      <c r="W9" s="7"/>
      <c r="X9" s="12"/>
      <c r="Y9" s="6"/>
      <c r="Z9" s="4"/>
      <c r="AA9" s="84" t="s">
        <v>49</v>
      </c>
      <c r="AB9" s="85" t="s">
        <v>50</v>
      </c>
    </row>
    <row r="10" spans="2:28" ht="17.100000000000001" thickBot="1">
      <c r="B10" s="10"/>
      <c r="C10" s="4"/>
      <c r="D10" s="6"/>
      <c r="E10" s="12"/>
      <c r="F10" s="6"/>
      <c r="G10" s="21" t="s">
        <v>101</v>
      </c>
      <c r="H10" s="6" t="s">
        <v>102</v>
      </c>
      <c r="I10" s="8">
        <v>486.59</v>
      </c>
      <c r="J10" s="39"/>
      <c r="K10" s="4" t="s">
        <v>103</v>
      </c>
      <c r="L10" s="13"/>
      <c r="M10" s="6"/>
      <c r="N10" s="6"/>
      <c r="O10" s="15"/>
      <c r="P10" s="23">
        <v>61.5</v>
      </c>
      <c r="Q10" s="6" t="s">
        <v>104</v>
      </c>
      <c r="R10" s="128">
        <v>6.4</v>
      </c>
      <c r="S10" s="4" t="s">
        <v>105</v>
      </c>
      <c r="T10" s="6">
        <v>17.25</v>
      </c>
      <c r="U10" s="11" t="s">
        <v>106</v>
      </c>
      <c r="V10" s="6">
        <v>10.94</v>
      </c>
      <c r="W10" s="7"/>
      <c r="X10" s="12"/>
      <c r="Y10" s="6"/>
      <c r="Z10" s="4"/>
      <c r="AA10" s="84" t="s">
        <v>10</v>
      </c>
      <c r="AB10" s="85" t="s">
        <v>57</v>
      </c>
    </row>
    <row r="11" spans="2:28" ht="17.100000000000001" thickBot="1">
      <c r="B11" s="10"/>
      <c r="C11" s="199" t="s">
        <v>58</v>
      </c>
      <c r="D11" s="200"/>
      <c r="E11" s="12"/>
      <c r="F11" s="6"/>
      <c r="G11" s="22" t="s">
        <v>107</v>
      </c>
      <c r="H11" s="6" t="s">
        <v>108</v>
      </c>
      <c r="I11" s="8">
        <v>480.5</v>
      </c>
      <c r="J11" s="39" t="s">
        <v>109</v>
      </c>
      <c r="K11" s="4" t="s">
        <v>62</v>
      </c>
      <c r="L11" s="13">
        <v>25.64</v>
      </c>
      <c r="M11" s="6"/>
      <c r="N11" s="6"/>
      <c r="O11" s="15"/>
      <c r="P11" s="23">
        <v>13.24</v>
      </c>
      <c r="Q11" s="6" t="s">
        <v>104</v>
      </c>
      <c r="R11" s="128">
        <v>7.2</v>
      </c>
      <c r="S11" s="4" t="s">
        <v>110</v>
      </c>
      <c r="T11" s="6">
        <v>13.19</v>
      </c>
      <c r="U11" s="11" t="s">
        <v>111</v>
      </c>
      <c r="V11" s="129">
        <v>5</v>
      </c>
      <c r="W11" s="7"/>
      <c r="X11" s="12"/>
      <c r="Y11" s="6"/>
      <c r="Z11" s="4"/>
      <c r="AA11" s="122" t="s">
        <v>65</v>
      </c>
      <c r="AB11" s="123" t="s">
        <v>66</v>
      </c>
    </row>
    <row r="12" spans="2:28">
      <c r="B12" s="10"/>
      <c r="C12" s="53" t="s">
        <v>67</v>
      </c>
      <c r="D12" s="54">
        <v>1500</v>
      </c>
      <c r="E12" s="75"/>
      <c r="F12" s="5"/>
      <c r="G12" s="44" t="s">
        <v>112</v>
      </c>
      <c r="H12" s="6" t="s">
        <v>113</v>
      </c>
      <c r="I12" s="8">
        <v>477</v>
      </c>
      <c r="J12" s="39" t="s">
        <v>114</v>
      </c>
      <c r="K12" s="4" t="s">
        <v>68</v>
      </c>
      <c r="L12" s="13">
        <v>11.2</v>
      </c>
      <c r="M12" s="6"/>
      <c r="N12" s="6"/>
      <c r="O12" s="15"/>
      <c r="P12" s="6">
        <v>14.61</v>
      </c>
      <c r="Q12" s="22" t="s">
        <v>104</v>
      </c>
      <c r="R12" s="128">
        <v>16.2</v>
      </c>
      <c r="S12" s="4"/>
      <c r="T12" s="6"/>
      <c r="U12" s="11" t="s">
        <v>115</v>
      </c>
      <c r="V12" s="129">
        <v>15</v>
      </c>
      <c r="W12" s="7"/>
      <c r="X12" s="12"/>
      <c r="Y12" s="6"/>
      <c r="Z12" s="4"/>
    </row>
    <row r="13" spans="2:28">
      <c r="B13" s="10"/>
      <c r="C13" s="53" t="s">
        <v>70</v>
      </c>
      <c r="D13" s="12">
        <f>I25</f>
        <v>500</v>
      </c>
      <c r="E13" s="76"/>
      <c r="F13" s="17"/>
      <c r="G13" s="38"/>
      <c r="H13" s="6"/>
      <c r="I13" s="16"/>
      <c r="J13" s="35"/>
      <c r="K13" s="4" t="s">
        <v>116</v>
      </c>
      <c r="L13" s="128">
        <v>50</v>
      </c>
      <c r="M13" s="6"/>
      <c r="N13" s="6"/>
      <c r="O13" s="15"/>
      <c r="P13" s="6">
        <v>8.77</v>
      </c>
      <c r="Q13" s="22" t="s">
        <v>104</v>
      </c>
      <c r="R13" s="128">
        <v>2.8</v>
      </c>
      <c r="S13" s="4"/>
      <c r="T13" s="6"/>
      <c r="U13" s="11" t="s">
        <v>117</v>
      </c>
      <c r="V13" s="129">
        <v>44.5</v>
      </c>
      <c r="W13" s="7"/>
      <c r="X13" s="12"/>
      <c r="Y13" s="6"/>
      <c r="Z13" s="4"/>
      <c r="AA13" s="4"/>
      <c r="AB13" s="4"/>
    </row>
    <row r="14" spans="2:28" ht="17.100000000000001" thickBot="1">
      <c r="B14" s="10"/>
      <c r="C14" s="67" t="s">
        <v>20</v>
      </c>
      <c r="D14" s="68">
        <f>SUM(D12:D13)</f>
        <v>2000</v>
      </c>
      <c r="E14" s="77"/>
      <c r="F14" s="17"/>
      <c r="G14" s="38"/>
      <c r="H14" s="17"/>
      <c r="I14" s="16"/>
      <c r="J14" s="35"/>
      <c r="K14" s="4" t="s">
        <v>118</v>
      </c>
      <c r="L14" s="128">
        <v>150</v>
      </c>
      <c r="M14" s="6"/>
      <c r="N14" s="6"/>
      <c r="O14" s="15"/>
      <c r="P14" s="6">
        <v>19.97</v>
      </c>
      <c r="Q14" s="22" t="s">
        <v>104</v>
      </c>
      <c r="R14" s="128">
        <v>6.5</v>
      </c>
      <c r="S14" s="4"/>
      <c r="T14" s="6"/>
      <c r="U14" s="11"/>
      <c r="V14" s="6"/>
      <c r="W14" s="7"/>
      <c r="X14" s="12"/>
      <c r="Y14" s="6"/>
      <c r="Z14" s="4"/>
      <c r="AA14" s="4"/>
      <c r="AB14" s="4"/>
    </row>
    <row r="15" spans="2:28" ht="15.75" thickBot="1">
      <c r="B15" s="10"/>
      <c r="C15" s="69"/>
      <c r="D15" s="69"/>
      <c r="E15" s="76"/>
      <c r="F15" s="17"/>
      <c r="G15" s="38"/>
      <c r="H15" s="17"/>
      <c r="I15" s="16"/>
      <c r="J15" s="35"/>
      <c r="K15" s="4"/>
      <c r="L15" s="13"/>
      <c r="M15" s="6"/>
      <c r="N15" s="6"/>
      <c r="O15" s="15"/>
      <c r="P15" s="6">
        <v>2.5</v>
      </c>
      <c r="Q15" s="22" t="s">
        <v>104</v>
      </c>
      <c r="R15" s="128">
        <v>11.1</v>
      </c>
      <c r="S15" s="4"/>
      <c r="T15" s="6"/>
      <c r="U15" s="11"/>
      <c r="V15" s="6"/>
      <c r="W15" s="7"/>
      <c r="X15" s="12"/>
      <c r="Y15" s="6"/>
      <c r="Z15" s="4"/>
      <c r="AA15" s="4"/>
      <c r="AB15" s="4"/>
    </row>
    <row r="16" spans="2:28" ht="15">
      <c r="B16" s="10"/>
      <c r="C16" s="199" t="s">
        <v>40</v>
      </c>
      <c r="D16" s="200"/>
      <c r="E16" s="76"/>
      <c r="F16" s="17"/>
      <c r="G16" s="38"/>
      <c r="H16" s="6"/>
      <c r="I16" s="8"/>
      <c r="J16" s="39"/>
      <c r="K16" s="4"/>
      <c r="L16" s="13"/>
      <c r="M16" s="6"/>
      <c r="N16" s="6"/>
      <c r="O16" s="15"/>
      <c r="P16" s="6">
        <v>7.25</v>
      </c>
      <c r="Q16" s="22" t="s">
        <v>119</v>
      </c>
      <c r="R16" s="128">
        <v>53.5</v>
      </c>
      <c r="S16" s="4"/>
      <c r="T16" s="6"/>
      <c r="U16" s="11"/>
      <c r="V16" s="6"/>
      <c r="W16" s="7"/>
      <c r="X16" s="12"/>
      <c r="Y16" s="6"/>
      <c r="Z16" s="4"/>
      <c r="AA16" s="4"/>
      <c r="AB16" s="4"/>
    </row>
    <row r="17" spans="2:28" ht="15">
      <c r="B17" s="10"/>
      <c r="C17" s="53" t="s">
        <v>77</v>
      </c>
      <c r="D17" s="54"/>
      <c r="E17" s="12"/>
      <c r="F17" s="6"/>
      <c r="G17" s="22"/>
      <c r="H17" s="5"/>
      <c r="I17" s="18"/>
      <c r="J17" s="40"/>
      <c r="K17" s="4"/>
      <c r="L17" s="13"/>
      <c r="M17" s="6"/>
      <c r="N17" s="6"/>
      <c r="O17" s="15"/>
      <c r="P17" s="6">
        <v>8.77</v>
      </c>
      <c r="Q17" s="22" t="s">
        <v>120</v>
      </c>
      <c r="R17" s="128">
        <v>30</v>
      </c>
      <c r="S17" s="4"/>
      <c r="T17" s="6"/>
      <c r="U17" s="11"/>
      <c r="V17" s="6"/>
      <c r="W17" s="7"/>
      <c r="X17" s="12"/>
      <c r="Y17" s="6"/>
      <c r="Z17" s="4"/>
      <c r="AA17" s="4"/>
      <c r="AB17" s="4"/>
    </row>
    <row r="18" spans="2:28">
      <c r="B18" s="10"/>
      <c r="C18" s="53"/>
      <c r="D18" s="12"/>
      <c r="E18" s="75"/>
      <c r="F18" s="5"/>
      <c r="G18" s="37"/>
      <c r="H18" s="17"/>
      <c r="I18" s="16"/>
      <c r="J18" s="35"/>
      <c r="K18" s="4"/>
      <c r="L18" s="13"/>
      <c r="M18" s="6"/>
      <c r="N18" s="6"/>
      <c r="O18" s="15"/>
      <c r="P18" s="6"/>
      <c r="Q18" s="22" t="s">
        <v>121</v>
      </c>
      <c r="R18" s="128">
        <v>35</v>
      </c>
      <c r="S18" s="4"/>
      <c r="T18" s="6"/>
      <c r="U18" s="11"/>
      <c r="V18" s="16"/>
      <c r="W18" s="28"/>
      <c r="X18" s="19"/>
      <c r="Y18" s="16"/>
      <c r="Z18" s="4"/>
      <c r="AA18" s="4"/>
      <c r="AB18" s="4"/>
    </row>
    <row r="19" spans="2:28" ht="15">
      <c r="B19" s="10"/>
      <c r="C19" s="56"/>
      <c r="D19" s="57"/>
      <c r="E19" s="76"/>
      <c r="F19" s="17"/>
      <c r="G19" s="38"/>
      <c r="H19" s="17"/>
      <c r="I19" s="16"/>
      <c r="J19" s="35"/>
      <c r="K19" s="4"/>
      <c r="L19" s="13"/>
      <c r="M19" s="6"/>
      <c r="N19" s="6"/>
      <c r="O19" s="15"/>
      <c r="P19" s="6">
        <v>13.36</v>
      </c>
      <c r="Q19" s="22"/>
      <c r="R19" s="13"/>
      <c r="S19" s="4"/>
      <c r="T19" s="6"/>
      <c r="U19" s="11"/>
      <c r="V19" s="6"/>
      <c r="W19" s="7"/>
      <c r="X19" s="12"/>
      <c r="Y19" s="6"/>
      <c r="Z19" s="4"/>
      <c r="AA19" s="4"/>
      <c r="AB19" s="4"/>
    </row>
    <row r="20" spans="2:28" ht="15">
      <c r="B20" s="10"/>
      <c r="C20" s="58"/>
      <c r="D20" s="12"/>
      <c r="E20" s="76"/>
      <c r="F20" s="17"/>
      <c r="G20" s="38"/>
      <c r="H20" s="17"/>
      <c r="I20" s="16"/>
      <c r="J20" s="35"/>
      <c r="K20" s="4"/>
      <c r="L20" s="13"/>
      <c r="M20" s="6"/>
      <c r="N20" s="6"/>
      <c r="O20" s="15"/>
      <c r="P20" s="6">
        <v>32.47</v>
      </c>
      <c r="Q20" s="22"/>
      <c r="R20" s="13"/>
      <c r="S20" s="4"/>
      <c r="T20" s="6"/>
      <c r="U20" s="11"/>
      <c r="V20" s="6"/>
      <c r="W20" s="7"/>
      <c r="X20" s="12"/>
      <c r="Y20" s="6"/>
      <c r="Z20" s="4"/>
      <c r="AA20" s="4"/>
      <c r="AB20" s="4"/>
    </row>
    <row r="21" spans="2:28" ht="15">
      <c r="B21" s="10"/>
      <c r="C21" s="58"/>
      <c r="D21" s="59"/>
      <c r="E21" s="76"/>
      <c r="F21" s="17"/>
      <c r="G21" s="38"/>
      <c r="H21" s="17"/>
      <c r="I21" s="16"/>
      <c r="J21" s="35"/>
      <c r="K21" s="4"/>
      <c r="L21" s="13"/>
      <c r="M21" s="6"/>
      <c r="N21" s="6"/>
      <c r="O21" s="15"/>
      <c r="P21" s="6">
        <v>3.54</v>
      </c>
      <c r="Q21" s="22"/>
      <c r="R21" s="13"/>
      <c r="S21" s="4"/>
      <c r="T21" s="6"/>
      <c r="U21" s="11"/>
      <c r="V21" s="6"/>
      <c r="W21" s="7"/>
      <c r="X21" s="12"/>
      <c r="Y21" s="6"/>
      <c r="Z21" s="4"/>
      <c r="AA21" s="4"/>
      <c r="AB21" s="4"/>
    </row>
    <row r="22" spans="2:28" ht="15">
      <c r="B22" s="10"/>
      <c r="C22" s="60"/>
      <c r="D22" s="61"/>
      <c r="E22" s="76"/>
      <c r="F22" s="17"/>
      <c r="G22" s="38"/>
      <c r="H22" s="4"/>
      <c r="I22" s="14"/>
      <c r="J22" s="41"/>
      <c r="K22" s="4"/>
      <c r="L22" s="13"/>
      <c r="M22" s="6"/>
      <c r="N22" s="6"/>
      <c r="O22" s="15"/>
      <c r="P22" s="6">
        <v>1</v>
      </c>
      <c r="Q22" s="22"/>
      <c r="R22" s="13"/>
      <c r="S22" s="4"/>
      <c r="T22" s="6"/>
      <c r="U22" s="11"/>
      <c r="V22" s="6"/>
      <c r="W22" s="7"/>
      <c r="X22" s="12"/>
      <c r="Y22" s="6"/>
      <c r="Z22" s="4"/>
      <c r="AA22" s="4"/>
      <c r="AB22" s="4"/>
    </row>
    <row r="23" spans="2:28" ht="15.75" thickBot="1">
      <c r="B23" s="10"/>
      <c r="C23" s="67" t="s">
        <v>20</v>
      </c>
      <c r="D23" s="68">
        <f>SUM(D17:D22)</f>
        <v>0</v>
      </c>
      <c r="E23" s="76"/>
      <c r="F23" s="17"/>
      <c r="G23" s="38"/>
      <c r="H23" s="4"/>
      <c r="I23" s="14"/>
      <c r="J23" s="41"/>
      <c r="K23" s="4"/>
      <c r="L23" s="13"/>
      <c r="M23" s="6"/>
      <c r="N23" s="6"/>
      <c r="O23" s="15"/>
      <c r="P23" s="6"/>
      <c r="Q23" s="22"/>
      <c r="R23" s="13"/>
      <c r="S23" s="4"/>
      <c r="T23" s="6"/>
      <c r="U23" s="11"/>
      <c r="V23" s="6"/>
      <c r="W23" s="7"/>
      <c r="X23" s="12"/>
      <c r="Y23" s="6"/>
      <c r="Z23" s="4"/>
      <c r="AA23" s="4"/>
      <c r="AB23" s="4"/>
    </row>
    <row r="24" spans="2:28" ht="15.75" thickBot="1">
      <c r="B24" s="10"/>
      <c r="C24" s="69"/>
      <c r="D24" s="69"/>
      <c r="E24" s="76"/>
      <c r="F24" s="17"/>
      <c r="G24" s="38"/>
      <c r="H24" s="97" t="s">
        <v>20</v>
      </c>
      <c r="I24" s="20">
        <f>SUM(I7:I23)</f>
        <v>2700.91</v>
      </c>
      <c r="J24" s="41"/>
      <c r="K24" s="4"/>
      <c r="L24" s="13"/>
      <c r="M24" s="6"/>
      <c r="N24" s="6"/>
      <c r="O24" s="15"/>
      <c r="P24" s="6"/>
      <c r="Q24" s="22"/>
      <c r="R24" s="13"/>
      <c r="S24" s="4"/>
      <c r="T24" s="6"/>
      <c r="U24" s="11"/>
      <c r="V24" s="6"/>
      <c r="W24" s="7"/>
      <c r="X24" s="12"/>
      <c r="Y24" s="6"/>
      <c r="Z24" s="4"/>
      <c r="AA24" s="4"/>
      <c r="AB24" s="4"/>
    </row>
    <row r="25" spans="2:28">
      <c r="B25" s="10"/>
      <c r="C25" s="199" t="s">
        <v>78</v>
      </c>
      <c r="D25" s="200"/>
      <c r="E25" s="55"/>
      <c r="F25" s="4"/>
      <c r="G25" s="21"/>
      <c r="H25" s="4" t="s">
        <v>79</v>
      </c>
      <c r="I25" s="8">
        <v>500</v>
      </c>
      <c r="J25" s="41"/>
      <c r="K25" s="4"/>
      <c r="L25" s="13"/>
      <c r="M25" s="6"/>
      <c r="N25" s="6"/>
      <c r="O25" s="15"/>
      <c r="P25" s="6"/>
      <c r="Q25" s="22"/>
      <c r="R25" s="13"/>
      <c r="S25" s="4"/>
      <c r="T25" s="6"/>
      <c r="U25" s="11" t="s">
        <v>122</v>
      </c>
      <c r="V25" s="6">
        <v>2</v>
      </c>
      <c r="W25" s="7"/>
      <c r="X25" s="12"/>
      <c r="Y25" s="6"/>
      <c r="Z25" s="4"/>
      <c r="AA25" s="6"/>
      <c r="AB25" s="4"/>
    </row>
    <row r="26" spans="2:28">
      <c r="B26" s="10"/>
      <c r="C26" s="53" t="s">
        <v>67</v>
      </c>
      <c r="D26" s="54"/>
      <c r="E26" s="55"/>
      <c r="F26" s="4"/>
      <c r="G26" s="21"/>
      <c r="H26" s="4" t="s">
        <v>80</v>
      </c>
      <c r="I26" s="8"/>
      <c r="J26" s="39"/>
      <c r="K26" s="4"/>
      <c r="L26" s="13"/>
      <c r="M26" s="6"/>
      <c r="N26" s="6"/>
      <c r="O26" s="15"/>
      <c r="P26" s="6"/>
      <c r="Q26" s="22"/>
      <c r="R26" s="13"/>
      <c r="S26" s="4"/>
      <c r="T26" s="6"/>
      <c r="U26" s="11"/>
      <c r="V26" s="6"/>
      <c r="W26" s="7"/>
      <c r="X26" s="12"/>
      <c r="Y26" s="6"/>
      <c r="Z26" s="4"/>
      <c r="AA26" s="4"/>
      <c r="AB26" s="4"/>
    </row>
    <row r="27" spans="2:28">
      <c r="B27" s="10"/>
      <c r="C27" s="53" t="s">
        <v>70</v>
      </c>
      <c r="D27" s="12"/>
      <c r="E27" s="55"/>
      <c r="F27" s="4"/>
      <c r="G27" s="21"/>
      <c r="H27" s="124" t="s">
        <v>11</v>
      </c>
      <c r="I27" s="125">
        <f>W30</f>
        <v>0</v>
      </c>
      <c r="J27" s="39"/>
      <c r="K27" s="4"/>
      <c r="L27" s="13"/>
      <c r="M27" s="6"/>
      <c r="N27" s="6"/>
      <c r="O27" s="15"/>
      <c r="P27" s="6"/>
      <c r="Q27" s="22"/>
      <c r="R27" s="13"/>
      <c r="S27" s="4"/>
      <c r="T27" s="6"/>
      <c r="U27" s="11"/>
      <c r="V27" s="6"/>
      <c r="W27" s="7"/>
      <c r="X27" s="12"/>
      <c r="Y27" s="6"/>
      <c r="Z27" s="4"/>
      <c r="AA27" s="4"/>
      <c r="AB27" s="4"/>
    </row>
    <row r="28" spans="2:28" ht="15">
      <c r="B28" s="10"/>
      <c r="C28" s="56"/>
      <c r="D28" s="57"/>
      <c r="E28" s="55"/>
      <c r="F28" s="4"/>
      <c r="G28" s="21"/>
      <c r="H28" s="4" t="s">
        <v>81</v>
      </c>
      <c r="I28" s="8">
        <v>250</v>
      </c>
      <c r="J28" s="39"/>
      <c r="K28" s="4"/>
      <c r="L28" s="13"/>
      <c r="M28" s="6"/>
      <c r="N28" s="6"/>
      <c r="O28" s="15"/>
      <c r="P28" s="6"/>
      <c r="Q28" s="22"/>
      <c r="R28" s="13"/>
      <c r="S28" s="4"/>
      <c r="T28" s="6"/>
      <c r="U28" s="11"/>
      <c r="V28" s="6"/>
      <c r="W28" s="7"/>
      <c r="X28" s="12"/>
      <c r="Y28" s="6"/>
      <c r="Z28" s="4"/>
    </row>
    <row r="29" spans="2:28" ht="15">
      <c r="B29" s="10"/>
      <c r="C29" s="58"/>
      <c r="D29" s="12"/>
      <c r="E29" s="55"/>
      <c r="F29" s="4"/>
      <c r="G29" s="21"/>
      <c r="H29" s="4" t="s">
        <v>82</v>
      </c>
      <c r="I29" s="8">
        <v>80</v>
      </c>
      <c r="J29" s="39"/>
      <c r="K29" s="4"/>
      <c r="L29" s="13"/>
      <c r="M29" s="6"/>
      <c r="N29" s="6"/>
      <c r="O29" s="15"/>
      <c r="P29" s="6"/>
      <c r="Q29" s="22"/>
      <c r="R29" s="13"/>
      <c r="S29" s="4"/>
      <c r="T29" s="6"/>
      <c r="U29" s="11"/>
      <c r="V29" s="6"/>
      <c r="W29" s="7"/>
      <c r="X29" s="12"/>
      <c r="Y29" s="6"/>
      <c r="Z29" s="4"/>
    </row>
    <row r="30" spans="2:28">
      <c r="B30" s="10"/>
      <c r="C30" s="58"/>
      <c r="D30" s="59"/>
      <c r="E30" s="55"/>
      <c r="F30" s="4"/>
      <c r="G30" s="208" t="s">
        <v>83</v>
      </c>
      <c r="H30" s="209"/>
      <c r="I30" s="81">
        <f>I24-I25-I26-I27-I28-I29</f>
        <v>1870.9099999999999</v>
      </c>
      <c r="J30" s="210">
        <f>SUM(L7:L29)</f>
        <v>786.84</v>
      </c>
      <c r="K30" s="211"/>
      <c r="L30" s="212"/>
      <c r="M30" s="213">
        <f>SUM(N7:N29)</f>
        <v>0</v>
      </c>
      <c r="N30" s="214"/>
      <c r="O30" s="201">
        <f>SUM(P7:P29)</f>
        <v>196.14</v>
      </c>
      <c r="P30" s="202"/>
      <c r="Q30" s="203">
        <f>SUM(R7:R29)</f>
        <v>189.7</v>
      </c>
      <c r="R30" s="204"/>
      <c r="S30" s="205">
        <f>SUM(T7:T29)</f>
        <v>81.53</v>
      </c>
      <c r="T30" s="206"/>
      <c r="U30" s="205">
        <f>SUM(V7:V29)</f>
        <v>126.94</v>
      </c>
      <c r="V30" s="207"/>
      <c r="W30" s="189">
        <f>SUM(X7:X29)</f>
        <v>0</v>
      </c>
      <c r="X30" s="190"/>
      <c r="Y30" s="6"/>
      <c r="Z30" s="4"/>
    </row>
    <row r="31" spans="2:28" ht="17.100000000000001" thickBot="1">
      <c r="B31" s="10"/>
      <c r="C31" s="60"/>
      <c r="D31" s="61"/>
      <c r="E31" s="55"/>
      <c r="F31" s="4"/>
      <c r="G31" s="184" t="s">
        <v>31</v>
      </c>
      <c r="H31" s="185"/>
      <c r="I31" s="43">
        <f>I30-J32</f>
        <v>489.75999999999976</v>
      </c>
      <c r="J31" s="186">
        <f>SUM(J30:P30)</f>
        <v>982.98</v>
      </c>
      <c r="K31" s="187"/>
      <c r="L31" s="187"/>
      <c r="M31" s="187"/>
      <c r="N31" s="187"/>
      <c r="O31" s="187"/>
      <c r="P31" s="188"/>
      <c r="Q31" s="193">
        <f>Q30+S30+U30</f>
        <v>398.17</v>
      </c>
      <c r="R31" s="194"/>
      <c r="S31" s="194"/>
      <c r="T31" s="194"/>
      <c r="U31" s="194"/>
      <c r="V31" s="195"/>
      <c r="W31" s="189"/>
      <c r="X31" s="190"/>
      <c r="Y31" s="6"/>
      <c r="Z31" s="4"/>
    </row>
    <row r="32" spans="2:28" ht="21" thickTop="1" thickBot="1">
      <c r="B32" s="10"/>
      <c r="C32" s="67" t="s">
        <v>20</v>
      </c>
      <c r="D32" s="68">
        <f>SUM(D26:D31)</f>
        <v>0</v>
      </c>
      <c r="E32" s="55"/>
      <c r="F32" s="4"/>
      <c r="G32" s="4"/>
      <c r="H32" s="6"/>
      <c r="I32" s="8"/>
      <c r="J32" s="196">
        <f>J31+Q31</f>
        <v>1381.15</v>
      </c>
      <c r="K32" s="197"/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8"/>
      <c r="W32" s="191"/>
      <c r="X32" s="192"/>
      <c r="Y32" s="6"/>
      <c r="Z32" s="4"/>
    </row>
    <row r="33" spans="2:26" ht="15.75" thickBot="1">
      <c r="B33" s="10"/>
      <c r="C33" s="70"/>
      <c r="D33" s="70"/>
      <c r="E33" s="5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2:26" ht="15">
      <c r="B34" s="1"/>
      <c r="C34" s="180" t="s">
        <v>84</v>
      </c>
      <c r="D34" s="181"/>
      <c r="E34" s="2"/>
    </row>
    <row r="35" spans="2:26">
      <c r="B35" s="1"/>
      <c r="C35" s="182" t="s">
        <v>85</v>
      </c>
      <c r="D35" s="183"/>
      <c r="E35" s="2"/>
    </row>
    <row r="36" spans="2:26">
      <c r="B36" s="1"/>
      <c r="C36" s="60" t="s">
        <v>67</v>
      </c>
      <c r="D36" s="62">
        <v>250</v>
      </c>
      <c r="E36" s="2"/>
      <c r="L36" s="130"/>
    </row>
    <row r="37" spans="2:26">
      <c r="B37" s="1"/>
      <c r="C37" s="60" t="s">
        <v>70</v>
      </c>
      <c r="D37" s="62">
        <f>I28</f>
        <v>250</v>
      </c>
      <c r="E37" s="2"/>
      <c r="L37" s="130"/>
    </row>
    <row r="38" spans="2:26" ht="15">
      <c r="B38" s="1"/>
      <c r="C38" s="65" t="s">
        <v>20</v>
      </c>
      <c r="D38" s="66">
        <f>SUM(D36:D37)</f>
        <v>500</v>
      </c>
      <c r="E38" s="2"/>
    </row>
    <row r="39" spans="2:26" ht="15">
      <c r="B39" s="1"/>
      <c r="C39" s="182" t="s">
        <v>86</v>
      </c>
      <c r="D39" s="183"/>
      <c r="E39" s="2"/>
    </row>
    <row r="40" spans="2:26">
      <c r="B40" s="1"/>
      <c r="C40" s="60" t="s">
        <v>67</v>
      </c>
      <c r="D40" s="62">
        <v>100</v>
      </c>
      <c r="E40" s="2"/>
    </row>
    <row r="41" spans="2:26">
      <c r="B41" s="1"/>
      <c r="C41" s="60" t="s">
        <v>70</v>
      </c>
      <c r="D41" s="62">
        <f>I29</f>
        <v>80</v>
      </c>
      <c r="E41" s="2"/>
    </row>
    <row r="42" spans="2:26" ht="15">
      <c r="B42" s="1"/>
      <c r="C42" s="65" t="s">
        <v>20</v>
      </c>
      <c r="D42" s="66">
        <f>SUM(D40:D41)</f>
        <v>180</v>
      </c>
      <c r="E42" s="2"/>
    </row>
    <row r="43" spans="2:26" ht="15.75" thickBot="1">
      <c r="B43" s="1"/>
      <c r="C43" s="63" t="s">
        <v>20</v>
      </c>
      <c r="D43" s="64">
        <f>D42+D38</f>
        <v>680</v>
      </c>
      <c r="E43" s="2"/>
    </row>
    <row r="44" spans="2:26" ht="15.75" thickBot="1">
      <c r="B44" s="78"/>
      <c r="C44" s="79"/>
      <c r="D44" s="79"/>
      <c r="E44" s="80"/>
    </row>
  </sheetData>
  <mergeCells count="29">
    <mergeCell ref="C35:D35"/>
    <mergeCell ref="C39:D39"/>
    <mergeCell ref="U30:V30"/>
    <mergeCell ref="W30:X32"/>
    <mergeCell ref="G31:H31"/>
    <mergeCell ref="J31:P31"/>
    <mergeCell ref="Q31:V31"/>
    <mergeCell ref="J32:V32"/>
    <mergeCell ref="M30:N30"/>
    <mergeCell ref="O30:P30"/>
    <mergeCell ref="Q30:R30"/>
    <mergeCell ref="S30:T30"/>
    <mergeCell ref="C34:D34"/>
    <mergeCell ref="C11:D11"/>
    <mergeCell ref="C16:D16"/>
    <mergeCell ref="C25:D25"/>
    <mergeCell ref="G30:H30"/>
    <mergeCell ref="J30:L30"/>
    <mergeCell ref="C4:D4"/>
    <mergeCell ref="G4:X4"/>
    <mergeCell ref="AA4:AB4"/>
    <mergeCell ref="G5:I5"/>
    <mergeCell ref="J5:L5"/>
    <mergeCell ref="M5:N5"/>
    <mergeCell ref="O5:P5"/>
    <mergeCell ref="Q5:R5"/>
    <mergeCell ref="S5:T5"/>
    <mergeCell ref="U5:V5"/>
    <mergeCell ref="W5:X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6134-CB81-4943-B03B-DC7163B430BF}">
  <sheetPr>
    <tabColor theme="9" tint="-0.249977111117893"/>
  </sheetPr>
  <dimension ref="D4:AD46"/>
  <sheetViews>
    <sheetView topLeftCell="I1" zoomScale="75" workbookViewId="0">
      <selection activeCell="M25" sqref="M25"/>
    </sheetView>
  </sheetViews>
  <sheetFormatPr defaultColWidth="11" defaultRowHeight="15.95"/>
  <cols>
    <col min="5" max="5" width="21.625" customWidth="1"/>
    <col min="6" max="6" width="23" customWidth="1"/>
    <col min="10" max="10" width="25" customWidth="1"/>
    <col min="11" max="11" width="15.5" customWidth="1"/>
    <col min="13" max="13" width="21.5" customWidth="1"/>
    <col min="15" max="15" width="16.625" customWidth="1"/>
    <col min="17" max="17" width="19.625" customWidth="1"/>
    <col min="18" max="18" width="18.375" customWidth="1"/>
    <col min="19" max="19" width="17.5" customWidth="1"/>
    <col min="21" max="21" width="19" customWidth="1"/>
    <col min="23" max="23" width="20.375" customWidth="1"/>
    <col min="25" max="25" width="19.625" customWidth="1"/>
    <col min="30" max="30" width="74" customWidth="1"/>
  </cols>
  <sheetData>
    <row r="4" spans="4:30" ht="17.100000000000001" thickBot="1"/>
    <row r="5" spans="4:30" ht="17.100000000000001" thickBot="1">
      <c r="D5" s="71"/>
      <c r="E5" s="72"/>
      <c r="F5" s="72"/>
      <c r="G5" s="7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4:30" ht="21.95" thickBot="1">
      <c r="D6" s="10"/>
      <c r="E6" s="215" t="s">
        <v>0</v>
      </c>
      <c r="F6" s="216"/>
      <c r="G6" s="74"/>
      <c r="H6" s="3"/>
      <c r="I6" s="217" t="s">
        <v>123</v>
      </c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9"/>
      <c r="AA6" s="33"/>
      <c r="AB6" s="4"/>
      <c r="AC6" s="220" t="s">
        <v>2</v>
      </c>
      <c r="AD6" s="221"/>
    </row>
    <row r="7" spans="4:30">
      <c r="D7" s="10"/>
      <c r="E7" s="45" t="s">
        <v>3</v>
      </c>
      <c r="F7" s="46">
        <f>L33</f>
        <v>964.6</v>
      </c>
      <c r="G7" s="75"/>
      <c r="H7" s="5"/>
      <c r="I7" s="222" t="s">
        <v>4</v>
      </c>
      <c r="J7" s="223"/>
      <c r="K7" s="224"/>
      <c r="L7" s="225" t="s">
        <v>5</v>
      </c>
      <c r="M7" s="226"/>
      <c r="N7" s="227"/>
      <c r="O7" s="228" t="s">
        <v>6</v>
      </c>
      <c r="P7" s="229"/>
      <c r="Q7" s="230" t="s">
        <v>7</v>
      </c>
      <c r="R7" s="231"/>
      <c r="S7" s="232" t="s">
        <v>8</v>
      </c>
      <c r="T7" s="233"/>
      <c r="U7" s="234" t="s">
        <v>9</v>
      </c>
      <c r="V7" s="235"/>
      <c r="W7" s="236" t="s">
        <v>10</v>
      </c>
      <c r="X7" s="235"/>
      <c r="Y7" s="237" t="s">
        <v>11</v>
      </c>
      <c r="Z7" s="238"/>
      <c r="AA7" s="5"/>
      <c r="AB7" s="4"/>
      <c r="AC7" s="82" t="s">
        <v>5</v>
      </c>
      <c r="AD7" s="83" t="s">
        <v>12</v>
      </c>
    </row>
    <row r="8" spans="4:30">
      <c r="D8" s="10"/>
      <c r="E8" s="47" t="s">
        <v>13</v>
      </c>
      <c r="F8" s="48">
        <f>S33</f>
        <v>268.39</v>
      </c>
      <c r="G8" s="12"/>
      <c r="H8" s="6"/>
      <c r="I8" s="89" t="s">
        <v>14</v>
      </c>
      <c r="J8" s="36" t="s">
        <v>15</v>
      </c>
      <c r="K8" s="36" t="s">
        <v>16</v>
      </c>
      <c r="L8" s="86" t="s">
        <v>14</v>
      </c>
      <c r="M8" s="34" t="s">
        <v>17</v>
      </c>
      <c r="N8" s="87" t="s">
        <v>16</v>
      </c>
      <c r="O8" s="34" t="s">
        <v>17</v>
      </c>
      <c r="P8" s="34" t="s">
        <v>16</v>
      </c>
      <c r="Q8" s="9" t="s">
        <v>17</v>
      </c>
      <c r="R8" s="34" t="s">
        <v>16</v>
      </c>
      <c r="S8" s="88" t="s">
        <v>17</v>
      </c>
      <c r="T8" s="87" t="s">
        <v>16</v>
      </c>
      <c r="U8" s="34" t="s">
        <v>17</v>
      </c>
      <c r="V8" s="34" t="s">
        <v>16</v>
      </c>
      <c r="W8" s="9" t="s">
        <v>17</v>
      </c>
      <c r="X8" s="34" t="s">
        <v>16</v>
      </c>
      <c r="Y8" s="111" t="s">
        <v>17</v>
      </c>
      <c r="Z8" s="112" t="s">
        <v>16</v>
      </c>
      <c r="AA8" s="34"/>
      <c r="AB8" s="4"/>
      <c r="AC8" s="82" t="s">
        <v>18</v>
      </c>
      <c r="AD8" s="83" t="s">
        <v>19</v>
      </c>
    </row>
    <row r="9" spans="4:30">
      <c r="D9" s="10"/>
      <c r="E9" s="49" t="s">
        <v>20</v>
      </c>
      <c r="F9" s="50">
        <f>F8+F7</f>
        <v>1232.99</v>
      </c>
      <c r="G9" s="12"/>
      <c r="H9" s="6"/>
      <c r="I9" s="22"/>
      <c r="J9" s="6" t="s">
        <v>21</v>
      </c>
      <c r="K9" s="8">
        <v>489.76</v>
      </c>
      <c r="L9" s="39" t="s">
        <v>124</v>
      </c>
      <c r="M9" s="4" t="s">
        <v>23</v>
      </c>
      <c r="N9" s="13">
        <v>500</v>
      </c>
      <c r="O9" s="4"/>
      <c r="P9" s="13"/>
      <c r="Q9" s="15" t="s">
        <v>25</v>
      </c>
      <c r="R9" s="6"/>
      <c r="S9" s="22" t="s">
        <v>125</v>
      </c>
      <c r="T9" s="13">
        <v>1</v>
      </c>
      <c r="U9" s="4" t="s">
        <v>126</v>
      </c>
      <c r="V9" s="6">
        <v>44</v>
      </c>
      <c r="W9" s="11" t="s">
        <v>127</v>
      </c>
      <c r="X9" s="129">
        <v>0</v>
      </c>
      <c r="Y9" s="7" t="s">
        <v>29</v>
      </c>
      <c r="Z9" s="12"/>
      <c r="AA9" s="6"/>
      <c r="AB9" s="4"/>
      <c r="AC9" s="82" t="s">
        <v>7</v>
      </c>
      <c r="AD9" s="83" t="s">
        <v>30</v>
      </c>
    </row>
    <row r="10" spans="4:30" ht="17.100000000000001" thickBot="1">
      <c r="D10" s="10"/>
      <c r="E10" s="51" t="s">
        <v>31</v>
      </c>
      <c r="F10" s="52">
        <f>K33</f>
        <v>31.799999999999955</v>
      </c>
      <c r="G10" s="12"/>
      <c r="H10" s="6"/>
      <c r="I10" s="22" t="s">
        <v>128</v>
      </c>
      <c r="J10" s="6" t="s">
        <v>129</v>
      </c>
      <c r="K10" s="8">
        <v>477</v>
      </c>
      <c r="L10" s="39"/>
      <c r="M10" s="4" t="s">
        <v>93</v>
      </c>
      <c r="N10" s="13"/>
      <c r="O10" s="4"/>
      <c r="P10" s="6"/>
      <c r="Q10" s="15" t="s">
        <v>36</v>
      </c>
      <c r="R10" s="6"/>
      <c r="S10" s="22" t="s">
        <v>125</v>
      </c>
      <c r="T10" s="13">
        <v>1</v>
      </c>
      <c r="U10" s="4" t="s">
        <v>130</v>
      </c>
      <c r="V10" s="6">
        <v>13</v>
      </c>
      <c r="W10" s="11" t="s">
        <v>131</v>
      </c>
      <c r="X10" s="6">
        <v>4</v>
      </c>
      <c r="Y10" s="7" t="s">
        <v>40</v>
      </c>
      <c r="Z10" s="12">
        <v>155</v>
      </c>
      <c r="AA10" s="6"/>
      <c r="AB10" s="4"/>
      <c r="AC10" s="84" t="s">
        <v>8</v>
      </c>
      <c r="AD10" s="85" t="s">
        <v>41</v>
      </c>
    </row>
    <row r="11" spans="4:30">
      <c r="D11" s="10"/>
      <c r="E11" s="4"/>
      <c r="F11" s="17"/>
      <c r="G11" s="12"/>
      <c r="H11" s="6"/>
      <c r="I11" s="22"/>
      <c r="J11" s="6" t="s">
        <v>132</v>
      </c>
      <c r="K11" s="8">
        <v>480.52</v>
      </c>
      <c r="L11" s="39"/>
      <c r="M11" s="4" t="s">
        <v>44</v>
      </c>
      <c r="N11" s="13"/>
      <c r="O11" s="6"/>
      <c r="P11" s="6"/>
      <c r="Q11" s="15" t="s">
        <v>45</v>
      </c>
      <c r="R11" s="6"/>
      <c r="S11" s="22"/>
      <c r="T11" s="13"/>
      <c r="U11" s="4" t="s">
        <v>133</v>
      </c>
      <c r="V11" s="6">
        <v>11</v>
      </c>
      <c r="W11" s="11" t="s">
        <v>134</v>
      </c>
      <c r="X11" s="6">
        <v>3</v>
      </c>
      <c r="Y11" s="7" t="s">
        <v>135</v>
      </c>
      <c r="Z11" s="12">
        <v>117.5</v>
      </c>
      <c r="AA11" s="6"/>
      <c r="AB11" s="4"/>
      <c r="AC11" s="84" t="s">
        <v>49</v>
      </c>
      <c r="AD11" s="85" t="s">
        <v>50</v>
      </c>
    </row>
    <row r="12" spans="4:30" ht="17.100000000000001" thickBot="1">
      <c r="D12" s="10"/>
      <c r="E12" s="4"/>
      <c r="F12" s="6"/>
      <c r="G12" s="12"/>
      <c r="H12" s="6"/>
      <c r="I12" s="21" t="s">
        <v>136</v>
      </c>
      <c r="J12" s="6" t="s">
        <v>137</v>
      </c>
      <c r="K12" s="8">
        <v>375</v>
      </c>
      <c r="L12" s="39"/>
      <c r="M12" s="4" t="s">
        <v>103</v>
      </c>
      <c r="N12" s="13">
        <v>6.5</v>
      </c>
      <c r="O12" s="6"/>
      <c r="P12" s="6"/>
      <c r="Q12" s="15"/>
      <c r="R12" s="23">
        <v>45</v>
      </c>
      <c r="S12" s="6" t="s">
        <v>138</v>
      </c>
      <c r="T12" s="13">
        <v>27</v>
      </c>
      <c r="U12" s="4" t="s">
        <v>139</v>
      </c>
      <c r="V12" s="6">
        <v>14.3</v>
      </c>
      <c r="W12" s="11" t="s">
        <v>140</v>
      </c>
      <c r="X12" s="6">
        <v>6</v>
      </c>
      <c r="Y12" s="7" t="s">
        <v>141</v>
      </c>
      <c r="Z12" s="12">
        <v>84.99</v>
      </c>
      <c r="AA12" s="6"/>
      <c r="AB12" s="4"/>
      <c r="AC12" s="84" t="s">
        <v>10</v>
      </c>
      <c r="AD12" s="85" t="s">
        <v>57</v>
      </c>
    </row>
    <row r="13" spans="4:30" ht="17.100000000000001" thickBot="1">
      <c r="D13" s="10"/>
      <c r="E13" s="199" t="s">
        <v>58</v>
      </c>
      <c r="F13" s="200"/>
      <c r="G13" s="12"/>
      <c r="H13" s="6"/>
      <c r="I13" s="22"/>
      <c r="J13" s="6"/>
      <c r="K13" s="8"/>
      <c r="L13" s="39"/>
      <c r="M13" s="4" t="s">
        <v>62</v>
      </c>
      <c r="N13" s="13"/>
      <c r="O13" s="6"/>
      <c r="P13" s="6"/>
      <c r="Q13" s="15"/>
      <c r="R13" s="23">
        <v>10</v>
      </c>
      <c r="S13" s="6" t="s">
        <v>142</v>
      </c>
      <c r="T13" s="13">
        <v>8.1</v>
      </c>
      <c r="U13" s="4" t="s">
        <v>143</v>
      </c>
      <c r="V13" s="6">
        <v>2</v>
      </c>
      <c r="W13" s="11" t="s">
        <v>144</v>
      </c>
      <c r="X13" s="6">
        <v>7.99</v>
      </c>
      <c r="Y13" s="7" t="s">
        <v>145</v>
      </c>
      <c r="Z13" s="12">
        <v>200</v>
      </c>
      <c r="AA13" s="6"/>
      <c r="AB13" s="4"/>
      <c r="AC13" s="122" t="s">
        <v>65</v>
      </c>
      <c r="AD13" s="123" t="s">
        <v>66</v>
      </c>
    </row>
    <row r="14" spans="4:30">
      <c r="D14" s="10"/>
      <c r="E14" s="53" t="s">
        <v>67</v>
      </c>
      <c r="F14" s="54">
        <v>2000</v>
      </c>
      <c r="G14" s="75"/>
      <c r="H14" s="5"/>
      <c r="I14" s="44"/>
      <c r="J14" s="6"/>
      <c r="K14" s="8"/>
      <c r="L14" s="39" t="s">
        <v>146</v>
      </c>
      <c r="M14" s="4" t="s">
        <v>68</v>
      </c>
      <c r="N14" s="13">
        <v>8</v>
      </c>
      <c r="O14" s="6"/>
      <c r="P14" s="6"/>
      <c r="Q14" s="15"/>
      <c r="R14" s="6">
        <v>20</v>
      </c>
      <c r="S14" s="22" t="s">
        <v>147</v>
      </c>
      <c r="T14" s="13">
        <v>43</v>
      </c>
      <c r="U14" s="4"/>
      <c r="V14" s="6"/>
      <c r="W14" s="11" t="s">
        <v>148</v>
      </c>
      <c r="X14" s="6">
        <v>17</v>
      </c>
      <c r="Y14" s="7"/>
      <c r="Z14" s="12"/>
      <c r="AA14" s="6"/>
      <c r="AB14" s="4"/>
    </row>
    <row r="15" spans="4:30">
      <c r="D15" s="10"/>
      <c r="E15" s="53" t="s">
        <v>70</v>
      </c>
      <c r="F15" s="12">
        <v>0</v>
      </c>
      <c r="G15" s="76"/>
      <c r="H15" s="17"/>
      <c r="I15" s="38"/>
      <c r="J15" s="6"/>
      <c r="K15" s="16"/>
      <c r="L15" s="35" t="s">
        <v>112</v>
      </c>
      <c r="M15" s="4" t="s">
        <v>149</v>
      </c>
      <c r="N15" s="131">
        <v>170</v>
      </c>
      <c r="O15" s="6"/>
      <c r="P15" s="6"/>
      <c r="Q15" s="15"/>
      <c r="R15" s="6">
        <v>5.25</v>
      </c>
      <c r="S15" s="22" t="s">
        <v>150</v>
      </c>
      <c r="T15" s="13">
        <v>31</v>
      </c>
      <c r="U15" s="4"/>
      <c r="V15" s="6"/>
      <c r="W15" s="11"/>
      <c r="X15" s="6"/>
      <c r="Y15" s="7"/>
      <c r="Z15" s="12"/>
      <c r="AA15" s="6"/>
      <c r="AB15" s="4"/>
      <c r="AC15" s="4"/>
      <c r="AD15" s="4"/>
    </row>
    <row r="16" spans="4:30" ht="17.100000000000001" thickBot="1">
      <c r="D16" s="10"/>
      <c r="E16" s="67" t="s">
        <v>20</v>
      </c>
      <c r="F16" s="68">
        <f>SUM(F14:F15)</f>
        <v>2000</v>
      </c>
      <c r="G16" s="77"/>
      <c r="H16" s="17"/>
      <c r="I16" s="38"/>
      <c r="J16" s="17"/>
      <c r="K16" s="16"/>
      <c r="L16" s="35" t="s">
        <v>124</v>
      </c>
      <c r="M16" s="4" t="s">
        <v>151</v>
      </c>
      <c r="N16" s="131">
        <v>79</v>
      </c>
      <c r="O16" s="6"/>
      <c r="P16" s="6"/>
      <c r="Q16" s="15"/>
      <c r="R16" s="6">
        <v>13.79</v>
      </c>
      <c r="S16" s="22" t="s">
        <v>152</v>
      </c>
      <c r="T16" s="13">
        <v>15</v>
      </c>
      <c r="U16" s="4"/>
      <c r="V16" s="6"/>
      <c r="W16" s="11"/>
      <c r="X16" s="6"/>
      <c r="Y16" s="7"/>
      <c r="Z16" s="12"/>
      <c r="AA16" s="6"/>
      <c r="AB16" s="4"/>
      <c r="AC16" s="4"/>
      <c r="AD16" s="4"/>
    </row>
    <row r="17" spans="4:30" ht="17.100000000000001" thickBot="1">
      <c r="D17" s="10"/>
      <c r="E17" s="69"/>
      <c r="F17" s="69"/>
      <c r="G17" s="76"/>
      <c r="H17" s="17"/>
      <c r="I17" s="38"/>
      <c r="J17" s="17"/>
      <c r="K17" s="16"/>
      <c r="L17" s="35" t="s">
        <v>153</v>
      </c>
      <c r="M17" s="4" t="s">
        <v>154</v>
      </c>
      <c r="N17" s="13">
        <v>28</v>
      </c>
      <c r="O17" s="6"/>
      <c r="P17" s="6"/>
      <c r="Q17" s="15"/>
      <c r="R17" s="6">
        <v>5.64</v>
      </c>
      <c r="S17" s="22" t="s">
        <v>155</v>
      </c>
      <c r="T17" s="13">
        <v>3</v>
      </c>
      <c r="U17" s="4"/>
      <c r="V17" s="6"/>
      <c r="W17" s="11"/>
      <c r="X17" s="6"/>
      <c r="Y17" s="7"/>
      <c r="Z17" s="12"/>
      <c r="AA17" s="6"/>
      <c r="AB17" s="4"/>
      <c r="AC17" s="4"/>
      <c r="AD17" s="4"/>
    </row>
    <row r="18" spans="4:30">
      <c r="D18" s="10"/>
      <c r="E18" s="199" t="s">
        <v>40</v>
      </c>
      <c r="F18" s="200"/>
      <c r="G18" s="76"/>
      <c r="H18" s="17"/>
      <c r="I18" s="38"/>
      <c r="J18" s="6"/>
      <c r="K18" s="8"/>
      <c r="L18" s="39"/>
      <c r="M18" s="4"/>
      <c r="N18" s="13"/>
      <c r="O18" s="6"/>
      <c r="P18" s="6"/>
      <c r="Q18" s="15"/>
      <c r="R18" s="6">
        <v>5</v>
      </c>
      <c r="S18" s="22" t="s">
        <v>156</v>
      </c>
      <c r="T18" s="13">
        <v>12</v>
      </c>
      <c r="U18" s="4"/>
      <c r="V18" s="6"/>
      <c r="W18" s="11"/>
      <c r="X18" s="6"/>
      <c r="Y18" s="7"/>
      <c r="Z18" s="12"/>
      <c r="AA18" s="6"/>
      <c r="AB18" s="4"/>
      <c r="AC18" s="4"/>
      <c r="AD18" s="4"/>
    </row>
    <row r="19" spans="4:30">
      <c r="D19" s="10"/>
      <c r="E19" s="53" t="s">
        <v>157</v>
      </c>
      <c r="F19" s="54">
        <f>Z10</f>
        <v>155</v>
      </c>
      <c r="G19" s="12"/>
      <c r="H19" s="6"/>
      <c r="I19" s="22"/>
      <c r="J19" s="5"/>
      <c r="K19" s="18"/>
      <c r="L19" s="40"/>
      <c r="M19" s="4"/>
      <c r="N19" s="13"/>
      <c r="O19" s="6"/>
      <c r="P19" s="6"/>
      <c r="Q19" s="15"/>
      <c r="R19" s="6">
        <v>8</v>
      </c>
      <c r="S19" s="22"/>
      <c r="T19" s="13"/>
      <c r="U19" s="4"/>
      <c r="V19" s="6"/>
      <c r="W19" s="11"/>
      <c r="X19" s="6"/>
      <c r="Y19" s="7"/>
      <c r="Z19" s="12"/>
      <c r="AA19" s="6"/>
      <c r="AB19" s="4"/>
      <c r="AC19" s="4"/>
      <c r="AD19" s="4"/>
    </row>
    <row r="20" spans="4:30">
      <c r="D20" s="10"/>
      <c r="E20" s="53"/>
      <c r="F20" s="12"/>
      <c r="G20" s="75"/>
      <c r="H20" s="5"/>
      <c r="I20" s="37"/>
      <c r="J20" s="17"/>
      <c r="K20" s="16"/>
      <c r="L20" s="35"/>
      <c r="M20" s="4"/>
      <c r="N20" s="13"/>
      <c r="O20" s="6"/>
      <c r="P20" s="6"/>
      <c r="Q20" s="15"/>
      <c r="R20" s="6">
        <v>1.7</v>
      </c>
      <c r="S20" s="22"/>
      <c r="T20" s="13"/>
      <c r="U20" s="4"/>
      <c r="V20" s="6"/>
      <c r="W20" s="11"/>
      <c r="X20" s="16"/>
      <c r="Y20" s="28"/>
      <c r="Z20" s="19"/>
      <c r="AA20" s="16"/>
      <c r="AB20" s="4"/>
      <c r="AC20" s="4"/>
      <c r="AD20" s="4"/>
    </row>
    <row r="21" spans="4:30">
      <c r="D21" s="10"/>
      <c r="E21" s="56"/>
      <c r="F21" s="57"/>
      <c r="G21" s="76"/>
      <c r="H21" s="17"/>
      <c r="I21" s="38"/>
      <c r="J21" s="17"/>
      <c r="K21" s="16"/>
      <c r="L21" s="35"/>
      <c r="M21" s="4"/>
      <c r="N21" s="13"/>
      <c r="O21" s="6"/>
      <c r="P21" s="6"/>
      <c r="Q21" s="15"/>
      <c r="R21" s="6">
        <v>29.45</v>
      </c>
      <c r="S21" s="22"/>
      <c r="T21" s="13"/>
      <c r="U21" s="4"/>
      <c r="V21" s="6"/>
      <c r="W21" s="11"/>
      <c r="X21" s="6"/>
      <c r="Y21" s="7"/>
      <c r="Z21" s="12"/>
      <c r="AA21" s="6"/>
      <c r="AB21" s="4"/>
      <c r="AC21" s="4"/>
      <c r="AD21" s="4"/>
    </row>
    <row r="22" spans="4:30">
      <c r="D22" s="10"/>
      <c r="E22" s="58"/>
      <c r="F22" s="12"/>
      <c r="G22" s="76"/>
      <c r="H22" s="17"/>
      <c r="I22" s="38"/>
      <c r="J22" s="17"/>
      <c r="K22" s="16"/>
      <c r="L22" s="35"/>
      <c r="M22" s="4"/>
      <c r="N22" s="13"/>
      <c r="O22" s="6"/>
      <c r="P22" s="6"/>
      <c r="Q22" s="15"/>
      <c r="R22" s="6">
        <v>5</v>
      </c>
      <c r="S22" s="22"/>
      <c r="T22" s="13"/>
      <c r="U22" s="4"/>
      <c r="V22" s="6"/>
      <c r="W22" s="11"/>
      <c r="X22" s="6"/>
      <c r="Y22" s="7"/>
      <c r="Z22" s="12"/>
      <c r="AA22" s="6"/>
      <c r="AB22" s="4"/>
      <c r="AC22" s="4"/>
      <c r="AD22" s="4"/>
    </row>
    <row r="23" spans="4:30">
      <c r="D23" s="10"/>
      <c r="E23" s="58"/>
      <c r="F23" s="59"/>
      <c r="G23" s="76"/>
      <c r="H23" s="17"/>
      <c r="I23" s="38"/>
      <c r="J23" s="17"/>
      <c r="K23" s="16"/>
      <c r="L23" s="35"/>
      <c r="M23" s="4"/>
      <c r="N23" s="13"/>
      <c r="O23" s="6"/>
      <c r="P23" s="6"/>
      <c r="Q23" s="15"/>
      <c r="R23" s="6">
        <v>24.27</v>
      </c>
      <c r="S23" s="22"/>
      <c r="T23" s="13"/>
      <c r="U23" s="4"/>
      <c r="V23" s="6"/>
      <c r="W23" s="11"/>
      <c r="X23" s="6"/>
      <c r="Y23" s="7"/>
      <c r="Z23" s="12"/>
      <c r="AA23" s="6"/>
      <c r="AB23" s="4"/>
      <c r="AC23" s="4"/>
      <c r="AD23" s="4"/>
    </row>
    <row r="24" spans="4:30">
      <c r="D24" s="10"/>
      <c r="E24" s="60"/>
      <c r="F24" s="61"/>
      <c r="G24" s="76"/>
      <c r="H24" s="17"/>
      <c r="I24" s="38"/>
      <c r="J24" s="4"/>
      <c r="K24" s="14"/>
      <c r="L24" s="41"/>
      <c r="M24" s="4"/>
      <c r="N24" s="13"/>
      <c r="O24" s="6"/>
      <c r="P24" s="6"/>
      <c r="Q24" s="15"/>
      <c r="R24" s="6"/>
      <c r="S24" s="22"/>
      <c r="T24" s="13"/>
      <c r="U24" s="4"/>
      <c r="V24" s="6"/>
      <c r="W24" s="11"/>
      <c r="X24" s="6"/>
      <c r="Y24" s="7"/>
      <c r="Z24" s="12"/>
      <c r="AA24" s="6"/>
      <c r="AB24" s="4"/>
      <c r="AC24" s="4"/>
      <c r="AD24" s="4"/>
    </row>
    <row r="25" spans="4:30" ht="17.100000000000001" thickBot="1">
      <c r="D25" s="10"/>
      <c r="E25" s="67" t="s">
        <v>20</v>
      </c>
      <c r="F25" s="68">
        <f>SUM(F19:F24)</f>
        <v>155</v>
      </c>
      <c r="G25" s="76"/>
      <c r="H25" s="17"/>
      <c r="I25" s="38"/>
      <c r="J25" s="4"/>
      <c r="K25" s="14"/>
      <c r="L25" s="41"/>
      <c r="M25" s="4"/>
      <c r="N25" s="13"/>
      <c r="O25" s="6"/>
      <c r="P25" s="6"/>
      <c r="Q25" s="15"/>
      <c r="R25" s="6"/>
      <c r="S25" s="22"/>
      <c r="T25" s="13"/>
      <c r="U25" s="4"/>
      <c r="V25" s="6"/>
      <c r="W25" s="11"/>
      <c r="X25" s="6"/>
      <c r="Y25" s="7"/>
      <c r="Z25" s="12"/>
      <c r="AA25" s="6"/>
      <c r="AB25" s="4"/>
      <c r="AC25" s="4"/>
      <c r="AD25" s="4"/>
    </row>
    <row r="26" spans="4:30" ht="17.100000000000001" thickBot="1">
      <c r="D26" s="10"/>
      <c r="E26" s="69"/>
      <c r="F26" s="69"/>
      <c r="G26" s="76"/>
      <c r="H26" s="17"/>
      <c r="I26" s="38"/>
      <c r="J26" s="97" t="s">
        <v>20</v>
      </c>
      <c r="K26" s="20">
        <f>SUM(K9:K25)</f>
        <v>1822.28</v>
      </c>
      <c r="L26" s="41"/>
      <c r="M26" s="4"/>
      <c r="N26" s="13"/>
      <c r="O26" s="6"/>
      <c r="P26" s="6"/>
      <c r="Q26" s="15"/>
      <c r="R26" s="6"/>
      <c r="S26" s="22"/>
      <c r="T26" s="13"/>
      <c r="U26" s="4"/>
      <c r="V26" s="6"/>
      <c r="W26" s="11"/>
      <c r="X26" s="6"/>
      <c r="Y26" s="7"/>
      <c r="Z26" s="12"/>
      <c r="AA26" s="6"/>
      <c r="AB26" s="4"/>
      <c r="AC26" s="4"/>
      <c r="AD26" s="4"/>
    </row>
    <row r="27" spans="4:30">
      <c r="D27" s="10"/>
      <c r="E27" s="199" t="s">
        <v>78</v>
      </c>
      <c r="F27" s="200"/>
      <c r="G27" s="55"/>
      <c r="H27" s="4"/>
      <c r="I27" s="21"/>
      <c r="J27" s="4" t="s">
        <v>79</v>
      </c>
      <c r="K27" s="8">
        <v>0</v>
      </c>
      <c r="L27" s="41"/>
      <c r="M27" s="4"/>
      <c r="N27" s="13"/>
      <c r="O27" s="6"/>
      <c r="P27" s="6"/>
      <c r="Q27" s="15"/>
      <c r="R27" s="6"/>
      <c r="S27" s="22"/>
      <c r="T27" s="13"/>
      <c r="U27" s="4"/>
      <c r="V27" s="6"/>
      <c r="W27" s="11"/>
      <c r="X27" s="6"/>
      <c r="Y27" s="7"/>
      <c r="Z27" s="12"/>
      <c r="AA27" s="6"/>
      <c r="AB27" s="4"/>
      <c r="AC27" s="6"/>
      <c r="AD27" s="4"/>
    </row>
    <row r="28" spans="4:30">
      <c r="D28" s="10"/>
      <c r="E28" s="53" t="s">
        <v>67</v>
      </c>
      <c r="F28" s="54"/>
      <c r="G28" s="55"/>
      <c r="H28" s="4"/>
      <c r="I28" s="21"/>
      <c r="J28" s="4" t="s">
        <v>80</v>
      </c>
      <c r="K28" s="8"/>
      <c r="L28" s="39"/>
      <c r="M28" s="4"/>
      <c r="N28" s="13"/>
      <c r="O28" s="6"/>
      <c r="P28" s="6"/>
      <c r="Q28" s="15"/>
      <c r="R28" s="6"/>
      <c r="S28" s="22"/>
      <c r="T28" s="13"/>
      <c r="U28" s="4"/>
      <c r="V28" s="6"/>
      <c r="W28" s="11" t="s">
        <v>122</v>
      </c>
      <c r="X28" s="6">
        <v>5</v>
      </c>
      <c r="Y28" s="7"/>
      <c r="Z28" s="12"/>
      <c r="AA28" s="6"/>
      <c r="AB28" s="4"/>
      <c r="AC28" s="4"/>
      <c r="AD28" s="4"/>
    </row>
    <row r="29" spans="4:30">
      <c r="D29" s="10"/>
      <c r="E29" s="53" t="s">
        <v>70</v>
      </c>
      <c r="F29" s="12"/>
      <c r="G29" s="55"/>
      <c r="H29" s="4"/>
      <c r="I29" s="21"/>
      <c r="J29" s="124" t="s">
        <v>11</v>
      </c>
      <c r="K29" s="125">
        <f>Y32</f>
        <v>557.49</v>
      </c>
      <c r="L29" s="39"/>
      <c r="M29" s="4"/>
      <c r="N29" s="13"/>
      <c r="O29" s="6"/>
      <c r="P29" s="6"/>
      <c r="Q29" s="15"/>
      <c r="R29" s="6"/>
      <c r="S29" s="22"/>
      <c r="T29" s="13"/>
      <c r="U29" s="4"/>
      <c r="V29" s="6"/>
      <c r="W29" s="11"/>
      <c r="X29" s="6"/>
      <c r="Y29" s="7"/>
      <c r="Z29" s="12"/>
      <c r="AA29" s="6"/>
      <c r="AB29" s="4"/>
      <c r="AC29" s="4"/>
      <c r="AD29" s="4"/>
    </row>
    <row r="30" spans="4:30">
      <c r="D30" s="10"/>
      <c r="E30" s="56"/>
      <c r="F30" s="57"/>
      <c r="G30" s="55"/>
      <c r="H30" s="4"/>
      <c r="I30" s="21"/>
      <c r="J30" s="4" t="s">
        <v>81</v>
      </c>
      <c r="K30" s="8">
        <v>0</v>
      </c>
      <c r="L30" s="39"/>
      <c r="M30" s="4"/>
      <c r="N30" s="13"/>
      <c r="O30" s="6"/>
      <c r="P30" s="6"/>
      <c r="Q30" s="15"/>
      <c r="R30" s="6"/>
      <c r="S30" s="22"/>
      <c r="T30" s="13"/>
      <c r="U30" s="4"/>
      <c r="V30" s="6"/>
      <c r="W30" s="11"/>
      <c r="X30" s="6"/>
      <c r="Y30" s="7"/>
      <c r="Z30" s="12"/>
      <c r="AA30" s="6"/>
      <c r="AB30" s="4"/>
    </row>
    <row r="31" spans="4:30">
      <c r="D31" s="10"/>
      <c r="E31" s="58"/>
      <c r="F31" s="12"/>
      <c r="G31" s="55"/>
      <c r="H31" s="4"/>
      <c r="I31" s="21"/>
      <c r="J31" s="4" t="s">
        <v>82</v>
      </c>
      <c r="K31" s="8">
        <v>0</v>
      </c>
      <c r="L31" s="39"/>
      <c r="M31" s="4"/>
      <c r="N31" s="13"/>
      <c r="O31" s="6"/>
      <c r="P31" s="6"/>
      <c r="Q31" s="15"/>
      <c r="R31" s="6"/>
      <c r="S31" s="22"/>
      <c r="T31" s="13"/>
      <c r="U31" s="4"/>
      <c r="V31" s="6"/>
      <c r="W31" s="11"/>
      <c r="X31" s="6"/>
      <c r="Y31" s="7"/>
      <c r="Z31" s="12"/>
      <c r="AA31" s="6"/>
      <c r="AB31" s="4"/>
    </row>
    <row r="32" spans="4:30">
      <c r="D32" s="10"/>
      <c r="E32" s="58"/>
      <c r="F32" s="59"/>
      <c r="G32" s="55"/>
      <c r="H32" s="4"/>
      <c r="I32" s="208" t="s">
        <v>83</v>
      </c>
      <c r="J32" s="209"/>
      <c r="K32" s="81">
        <f>K26-K27-K28-K29-K30-K31</f>
        <v>1264.79</v>
      </c>
      <c r="L32" s="210">
        <f>SUM(N9:N31)</f>
        <v>791.5</v>
      </c>
      <c r="M32" s="211"/>
      <c r="N32" s="212"/>
      <c r="O32" s="213">
        <f>SUM(P9:P31)</f>
        <v>0</v>
      </c>
      <c r="P32" s="214"/>
      <c r="Q32" s="201">
        <f>SUM(R9:R31)</f>
        <v>173.1</v>
      </c>
      <c r="R32" s="202"/>
      <c r="S32" s="203">
        <f>SUM(T9:T31)</f>
        <v>141.1</v>
      </c>
      <c r="T32" s="204"/>
      <c r="U32" s="205">
        <f>SUM(V9:V31)</f>
        <v>84.3</v>
      </c>
      <c r="V32" s="206"/>
      <c r="W32" s="205">
        <f>SUM(X9:X31)</f>
        <v>42.99</v>
      </c>
      <c r="X32" s="207"/>
      <c r="Y32" s="189">
        <f>SUM(Z9:Z31)</f>
        <v>557.49</v>
      </c>
      <c r="Z32" s="190"/>
      <c r="AA32" s="6"/>
      <c r="AB32" s="4"/>
    </row>
    <row r="33" spans="4:28" ht="17.100000000000001" thickBot="1">
      <c r="D33" s="10"/>
      <c r="E33" s="60"/>
      <c r="F33" s="61"/>
      <c r="G33" s="55"/>
      <c r="H33" s="4"/>
      <c r="I33" s="184" t="s">
        <v>31</v>
      </c>
      <c r="J33" s="185"/>
      <c r="K33" s="43">
        <f>K32-L34</f>
        <v>31.799999999999955</v>
      </c>
      <c r="L33" s="186">
        <f>SUM(L32:R32)</f>
        <v>964.6</v>
      </c>
      <c r="M33" s="187"/>
      <c r="N33" s="187"/>
      <c r="O33" s="187"/>
      <c r="P33" s="187"/>
      <c r="Q33" s="187"/>
      <c r="R33" s="188"/>
      <c r="S33" s="193">
        <f>S32+U32+W32</f>
        <v>268.39</v>
      </c>
      <c r="T33" s="194"/>
      <c r="U33" s="194"/>
      <c r="V33" s="194"/>
      <c r="W33" s="194"/>
      <c r="X33" s="195"/>
      <c r="Y33" s="189"/>
      <c r="Z33" s="190"/>
      <c r="AA33" s="6"/>
      <c r="AB33" s="4"/>
    </row>
    <row r="34" spans="4:28" ht="21" thickTop="1" thickBot="1">
      <c r="D34" s="10"/>
      <c r="E34" s="67" t="s">
        <v>20</v>
      </c>
      <c r="F34" s="68">
        <f>SUM(F28:F33)</f>
        <v>0</v>
      </c>
      <c r="G34" s="55"/>
      <c r="H34" s="4"/>
      <c r="I34" s="4"/>
      <c r="J34" s="6"/>
      <c r="K34" s="8"/>
      <c r="L34" s="196">
        <f>L33+S33</f>
        <v>1232.99</v>
      </c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8"/>
      <c r="Y34" s="191"/>
      <c r="Z34" s="192"/>
      <c r="AA34" s="6"/>
      <c r="AB34" s="4"/>
    </row>
    <row r="35" spans="4:28" ht="17.100000000000001" thickBot="1">
      <c r="D35" s="10"/>
      <c r="E35" s="70"/>
      <c r="F35" s="70"/>
      <c r="G35" s="5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4:28">
      <c r="D36" s="1"/>
      <c r="E36" s="180" t="s">
        <v>84</v>
      </c>
      <c r="F36" s="181"/>
      <c r="G36" s="2"/>
    </row>
    <row r="37" spans="4:28">
      <c r="D37" s="1"/>
      <c r="E37" s="182" t="s">
        <v>85</v>
      </c>
      <c r="F37" s="183"/>
      <c r="G37" s="2"/>
      <c r="M37" t="s">
        <v>158</v>
      </c>
    </row>
    <row r="38" spans="4:28">
      <c r="D38" s="1"/>
      <c r="E38" s="60" t="s">
        <v>67</v>
      </c>
      <c r="F38" s="62">
        <v>500</v>
      </c>
      <c r="G38" s="2"/>
      <c r="M38" t="s">
        <v>159</v>
      </c>
      <c r="N38" s="130">
        <f>N16+N15</f>
        <v>249</v>
      </c>
    </row>
    <row r="39" spans="4:28">
      <c r="D39" s="1"/>
      <c r="E39" s="60" t="s">
        <v>70</v>
      </c>
      <c r="F39" s="62">
        <f>K30</f>
        <v>0</v>
      </c>
      <c r="G39" s="2"/>
      <c r="N39" s="130"/>
    </row>
    <row r="40" spans="4:28">
      <c r="D40" s="1"/>
      <c r="E40" s="65" t="s">
        <v>20</v>
      </c>
      <c r="F40" s="66">
        <f>SUM(F38:F39)</f>
        <v>500</v>
      </c>
      <c r="G40" s="2"/>
    </row>
    <row r="41" spans="4:28">
      <c r="D41" s="1"/>
      <c r="E41" s="182" t="s">
        <v>86</v>
      </c>
      <c r="F41" s="183"/>
      <c r="G41" s="2"/>
    </row>
    <row r="42" spans="4:28">
      <c r="D42" s="1"/>
      <c r="E42" s="60" t="s">
        <v>67</v>
      </c>
      <c r="F42" s="62">
        <v>180</v>
      </c>
      <c r="G42" s="2"/>
    </row>
    <row r="43" spans="4:28">
      <c r="D43" s="1"/>
      <c r="E43" s="60" t="s">
        <v>70</v>
      </c>
      <c r="F43" s="62">
        <f>K31</f>
        <v>0</v>
      </c>
      <c r="G43" s="2"/>
    </row>
    <row r="44" spans="4:28">
      <c r="D44" s="1"/>
      <c r="E44" s="65" t="s">
        <v>20</v>
      </c>
      <c r="F44" s="66">
        <f>SUM(F42:F43)</f>
        <v>180</v>
      </c>
      <c r="G44" s="2"/>
    </row>
    <row r="45" spans="4:28" ht="17.100000000000001" thickBot="1">
      <c r="D45" s="1"/>
      <c r="E45" s="63" t="s">
        <v>20</v>
      </c>
      <c r="F45" s="64">
        <f>F44+F40</f>
        <v>680</v>
      </c>
      <c r="G45" s="2"/>
    </row>
    <row r="46" spans="4:28" ht="17.100000000000001" thickBot="1">
      <c r="D46" s="78"/>
      <c r="E46" s="79"/>
      <c r="F46" s="79"/>
      <c r="G46" s="80"/>
    </row>
  </sheetData>
  <mergeCells count="29">
    <mergeCell ref="E37:F37"/>
    <mergeCell ref="E41:F41"/>
    <mergeCell ref="W32:X32"/>
    <mergeCell ref="Y32:Z34"/>
    <mergeCell ref="I33:J33"/>
    <mergeCell ref="L33:R33"/>
    <mergeCell ref="S33:X33"/>
    <mergeCell ref="L34:X34"/>
    <mergeCell ref="O32:P32"/>
    <mergeCell ref="Q32:R32"/>
    <mergeCell ref="S32:T32"/>
    <mergeCell ref="U32:V32"/>
    <mergeCell ref="E36:F36"/>
    <mergeCell ref="E13:F13"/>
    <mergeCell ref="E18:F18"/>
    <mergeCell ref="E27:F27"/>
    <mergeCell ref="I32:J32"/>
    <mergeCell ref="L32:N32"/>
    <mergeCell ref="E6:F6"/>
    <mergeCell ref="I6:Z6"/>
    <mergeCell ref="AC6:AD6"/>
    <mergeCell ref="I7:K7"/>
    <mergeCell ref="L7:N7"/>
    <mergeCell ref="O7:P7"/>
    <mergeCell ref="Q7:R7"/>
    <mergeCell ref="S7:T7"/>
    <mergeCell ref="U7:V7"/>
    <mergeCell ref="W7:X7"/>
    <mergeCell ref="Y7:Z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C2608-51A6-CA4A-BEF5-6C06107184EC}">
  <sheetPr>
    <tabColor theme="9" tint="-0.249977111117893"/>
  </sheetPr>
  <dimension ref="D5:AD47"/>
  <sheetViews>
    <sheetView topLeftCell="M6" zoomScale="88" workbookViewId="0">
      <selection activeCell="W27" sqref="W27"/>
    </sheetView>
  </sheetViews>
  <sheetFormatPr defaultColWidth="11" defaultRowHeight="15.95"/>
  <cols>
    <col min="5" max="5" width="16.875" customWidth="1"/>
    <col min="6" max="6" width="19.375" customWidth="1"/>
    <col min="10" max="10" width="21.375" customWidth="1"/>
    <col min="11" max="11" width="11.875" customWidth="1"/>
    <col min="13" max="13" width="23.625" customWidth="1"/>
    <col min="17" max="17" width="29.125" customWidth="1"/>
    <col min="19" max="19" width="27" customWidth="1"/>
    <col min="20" max="20" width="14.125" customWidth="1"/>
    <col min="21" max="21" width="15.25" customWidth="1"/>
    <col min="23" max="23" width="19" customWidth="1"/>
    <col min="24" max="24" width="15" customWidth="1"/>
    <col min="25" max="25" width="16.375" customWidth="1"/>
    <col min="29" max="29" width="26.125" customWidth="1"/>
    <col min="30" max="30" width="76" customWidth="1"/>
  </cols>
  <sheetData>
    <row r="5" spans="4:30" ht="17.100000000000001" thickBot="1"/>
    <row r="6" spans="4:30" ht="17.100000000000001" thickBot="1">
      <c r="D6" s="71"/>
      <c r="E6" s="72"/>
      <c r="F6" s="72"/>
      <c r="G6" s="7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4:30" ht="21.95" thickBot="1">
      <c r="D7" s="10"/>
      <c r="E7" s="215" t="s">
        <v>0</v>
      </c>
      <c r="F7" s="216"/>
      <c r="G7" s="74"/>
      <c r="H7" s="3"/>
      <c r="I7" s="217" t="s">
        <v>160</v>
      </c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9"/>
      <c r="AA7" s="33"/>
      <c r="AB7" s="4"/>
      <c r="AC7" s="220" t="s">
        <v>2</v>
      </c>
      <c r="AD7" s="221"/>
    </row>
    <row r="8" spans="4:30">
      <c r="D8" s="10"/>
      <c r="E8" s="45" t="s">
        <v>3</v>
      </c>
      <c r="F8" s="46">
        <f>L34</f>
        <v>745.92000000000007</v>
      </c>
      <c r="G8" s="75"/>
      <c r="H8" s="5"/>
      <c r="I8" s="222" t="s">
        <v>4</v>
      </c>
      <c r="J8" s="223"/>
      <c r="K8" s="224"/>
      <c r="L8" s="225" t="s">
        <v>5</v>
      </c>
      <c r="M8" s="226"/>
      <c r="N8" s="227"/>
      <c r="O8" s="228" t="s">
        <v>6</v>
      </c>
      <c r="P8" s="229"/>
      <c r="Q8" s="230" t="s">
        <v>7</v>
      </c>
      <c r="R8" s="231"/>
      <c r="S8" s="232" t="s">
        <v>8</v>
      </c>
      <c r="T8" s="233"/>
      <c r="U8" s="234" t="s">
        <v>9</v>
      </c>
      <c r="V8" s="235"/>
      <c r="W8" s="236" t="s">
        <v>10</v>
      </c>
      <c r="X8" s="235"/>
      <c r="Y8" s="237" t="s">
        <v>11</v>
      </c>
      <c r="Z8" s="238"/>
      <c r="AA8" s="5"/>
      <c r="AB8" s="4"/>
      <c r="AC8" s="82" t="s">
        <v>5</v>
      </c>
      <c r="AD8" s="83" t="s">
        <v>12</v>
      </c>
    </row>
    <row r="9" spans="4:30">
      <c r="D9" s="10"/>
      <c r="E9" s="47" t="s">
        <v>13</v>
      </c>
      <c r="F9" s="48">
        <f>S34</f>
        <v>414.94000000000005</v>
      </c>
      <c r="G9" s="12"/>
      <c r="H9" s="6"/>
      <c r="I9" s="89" t="s">
        <v>14</v>
      </c>
      <c r="J9" s="36" t="s">
        <v>15</v>
      </c>
      <c r="K9" s="36" t="s">
        <v>16</v>
      </c>
      <c r="L9" s="86" t="s">
        <v>14</v>
      </c>
      <c r="M9" s="34" t="s">
        <v>17</v>
      </c>
      <c r="N9" s="87" t="s">
        <v>16</v>
      </c>
      <c r="O9" s="34" t="s">
        <v>17</v>
      </c>
      <c r="P9" s="34" t="s">
        <v>16</v>
      </c>
      <c r="Q9" s="9" t="s">
        <v>17</v>
      </c>
      <c r="R9" s="34" t="s">
        <v>16</v>
      </c>
      <c r="S9" s="88" t="s">
        <v>17</v>
      </c>
      <c r="T9" s="87" t="s">
        <v>16</v>
      </c>
      <c r="U9" s="34" t="s">
        <v>17</v>
      </c>
      <c r="V9" s="34" t="s">
        <v>16</v>
      </c>
      <c r="W9" s="9" t="s">
        <v>17</v>
      </c>
      <c r="X9" s="34" t="s">
        <v>16</v>
      </c>
      <c r="Y9" s="111" t="s">
        <v>17</v>
      </c>
      <c r="Z9" s="112" t="s">
        <v>16</v>
      </c>
      <c r="AA9" s="34"/>
      <c r="AB9" s="4"/>
      <c r="AC9" s="82" t="s">
        <v>18</v>
      </c>
      <c r="AD9" s="83" t="s">
        <v>19</v>
      </c>
    </row>
    <row r="10" spans="4:30">
      <c r="D10" s="10"/>
      <c r="E10" s="49" t="s">
        <v>20</v>
      </c>
      <c r="F10" s="50">
        <f>F9+F8</f>
        <v>1160.8600000000001</v>
      </c>
      <c r="G10" s="12"/>
      <c r="H10" s="6"/>
      <c r="I10" s="22"/>
      <c r="J10" s="6" t="s">
        <v>21</v>
      </c>
      <c r="K10" s="8">
        <v>31.8</v>
      </c>
      <c r="L10" s="39" t="s">
        <v>161</v>
      </c>
      <c r="M10" s="4" t="s">
        <v>23</v>
      </c>
      <c r="N10" s="13">
        <v>500</v>
      </c>
      <c r="O10" s="4" t="s">
        <v>162</v>
      </c>
      <c r="P10" s="13">
        <v>19</v>
      </c>
      <c r="Q10" s="15" t="s">
        <v>25</v>
      </c>
      <c r="R10" s="6">
        <v>43</v>
      </c>
      <c r="S10" s="22" t="s">
        <v>163</v>
      </c>
      <c r="T10" s="13">
        <v>19</v>
      </c>
      <c r="U10" s="4" t="s">
        <v>164</v>
      </c>
      <c r="V10" s="6">
        <v>39</v>
      </c>
      <c r="W10" s="11" t="s">
        <v>165</v>
      </c>
      <c r="X10" s="6">
        <v>18</v>
      </c>
      <c r="Y10" s="7" t="s">
        <v>29</v>
      </c>
      <c r="Z10" s="12"/>
      <c r="AA10" s="6"/>
      <c r="AB10" s="4"/>
      <c r="AC10" s="82" t="s">
        <v>7</v>
      </c>
      <c r="AD10" s="83" t="s">
        <v>30</v>
      </c>
    </row>
    <row r="11" spans="4:30" ht="17.100000000000001" thickBot="1">
      <c r="D11" s="10"/>
      <c r="E11" s="51" t="s">
        <v>31</v>
      </c>
      <c r="F11" s="52">
        <f>K34</f>
        <v>0.9399999999998272</v>
      </c>
      <c r="G11" s="12"/>
      <c r="H11" s="6"/>
      <c r="I11" s="22"/>
      <c r="J11" s="6" t="s">
        <v>166</v>
      </c>
      <c r="K11" s="8">
        <v>1100</v>
      </c>
      <c r="L11" s="39" t="s">
        <v>167</v>
      </c>
      <c r="M11" s="4" t="s">
        <v>93</v>
      </c>
      <c r="N11" s="13">
        <v>20</v>
      </c>
      <c r="O11" s="4"/>
      <c r="P11" s="6"/>
      <c r="Q11" s="15" t="s">
        <v>36</v>
      </c>
      <c r="R11" s="6"/>
      <c r="S11" s="22" t="s">
        <v>168</v>
      </c>
      <c r="T11" s="13">
        <v>8</v>
      </c>
      <c r="U11" s="4" t="s">
        <v>169</v>
      </c>
      <c r="V11" s="6">
        <v>13</v>
      </c>
      <c r="W11" s="11" t="s">
        <v>170</v>
      </c>
      <c r="X11" s="6">
        <v>3</v>
      </c>
      <c r="Y11" s="7" t="s">
        <v>40</v>
      </c>
      <c r="Z11" s="12"/>
      <c r="AA11" s="6"/>
      <c r="AB11" s="4"/>
      <c r="AC11" s="84" t="s">
        <v>8</v>
      </c>
      <c r="AD11" s="85" t="s">
        <v>41</v>
      </c>
    </row>
    <row r="12" spans="4:30">
      <c r="D12" s="10"/>
      <c r="E12" s="4"/>
      <c r="F12" s="17"/>
      <c r="G12" s="12"/>
      <c r="H12" s="6"/>
      <c r="I12" s="22"/>
      <c r="J12" s="6" t="s">
        <v>171</v>
      </c>
      <c r="K12" s="8">
        <v>30</v>
      </c>
      <c r="L12" s="39"/>
      <c r="M12" s="4" t="s">
        <v>44</v>
      </c>
      <c r="N12" s="13"/>
      <c r="O12" s="6"/>
      <c r="P12" s="6"/>
      <c r="Q12" s="15" t="s">
        <v>45</v>
      </c>
      <c r="R12" s="6"/>
      <c r="S12" s="22" t="s">
        <v>172</v>
      </c>
      <c r="T12" s="13">
        <v>21.25</v>
      </c>
      <c r="U12" s="4" t="s">
        <v>173</v>
      </c>
      <c r="V12" s="6">
        <v>5.5</v>
      </c>
      <c r="W12" s="11"/>
      <c r="X12" s="6"/>
      <c r="Y12" s="7" t="s">
        <v>135</v>
      </c>
      <c r="Z12" s="12"/>
      <c r="AA12" s="6"/>
      <c r="AB12" s="4"/>
      <c r="AC12" s="84" t="s">
        <v>49</v>
      </c>
      <c r="AD12" s="85" t="s">
        <v>50</v>
      </c>
    </row>
    <row r="13" spans="4:30" ht="17.100000000000001" thickBot="1">
      <c r="D13" s="10"/>
      <c r="E13" s="4"/>
      <c r="F13" s="6"/>
      <c r="G13" s="12"/>
      <c r="H13" s="6"/>
      <c r="I13" s="21"/>
      <c r="J13" s="6"/>
      <c r="K13" s="8"/>
      <c r="L13" s="39"/>
      <c r="M13" s="4" t="s">
        <v>103</v>
      </c>
      <c r="N13" s="13"/>
      <c r="O13" s="6"/>
      <c r="P13" s="6"/>
      <c r="Q13" s="15"/>
      <c r="R13" s="23">
        <v>2.69</v>
      </c>
      <c r="S13" s="6" t="s">
        <v>174</v>
      </c>
      <c r="T13" s="13">
        <v>21.25</v>
      </c>
      <c r="U13" s="4" t="s">
        <v>175</v>
      </c>
      <c r="V13" s="6">
        <v>36.090000000000003</v>
      </c>
      <c r="W13" s="11" t="s">
        <v>176</v>
      </c>
      <c r="X13" s="6">
        <v>10</v>
      </c>
      <c r="Y13" s="7"/>
      <c r="Z13" s="12"/>
      <c r="AA13" s="6"/>
      <c r="AB13" s="4"/>
      <c r="AC13" s="84" t="s">
        <v>10</v>
      </c>
      <c r="AD13" s="85" t="s">
        <v>57</v>
      </c>
    </row>
    <row r="14" spans="4:30" ht="17.100000000000001" thickBot="1">
      <c r="D14" s="10"/>
      <c r="E14" s="199" t="s">
        <v>58</v>
      </c>
      <c r="F14" s="200"/>
      <c r="G14" s="12"/>
      <c r="H14" s="6"/>
      <c r="I14" s="22"/>
      <c r="J14" s="6"/>
      <c r="K14" s="8"/>
      <c r="L14" s="39" t="s">
        <v>177</v>
      </c>
      <c r="M14" s="4" t="s">
        <v>62</v>
      </c>
      <c r="N14" s="13">
        <v>20</v>
      </c>
      <c r="O14" s="6"/>
      <c r="P14" s="6"/>
      <c r="Q14" s="15"/>
      <c r="R14" s="23">
        <v>9</v>
      </c>
      <c r="S14" s="6" t="s">
        <v>178</v>
      </c>
      <c r="T14" s="13">
        <v>3</v>
      </c>
      <c r="U14" s="4" t="s">
        <v>179</v>
      </c>
      <c r="V14" s="6">
        <v>30</v>
      </c>
      <c r="W14" s="11" t="s">
        <v>176</v>
      </c>
      <c r="X14" s="6">
        <v>4</v>
      </c>
      <c r="Y14" s="7"/>
      <c r="Z14" s="12"/>
      <c r="AA14" s="6"/>
      <c r="AB14" s="4"/>
      <c r="AC14" s="122" t="s">
        <v>65</v>
      </c>
      <c r="AD14" s="123" t="s">
        <v>66</v>
      </c>
    </row>
    <row r="15" spans="4:30">
      <c r="D15" s="10"/>
      <c r="E15" s="53" t="s">
        <v>67</v>
      </c>
      <c r="F15" s="54">
        <v>2000</v>
      </c>
      <c r="G15" s="75"/>
      <c r="H15" s="5"/>
      <c r="I15" s="44"/>
      <c r="J15" s="6"/>
      <c r="K15" s="8"/>
      <c r="L15" s="39"/>
      <c r="M15" s="4" t="s">
        <v>68</v>
      </c>
      <c r="N15" s="13">
        <v>8</v>
      </c>
      <c r="O15" s="6"/>
      <c r="P15" s="6"/>
      <c r="Q15" s="15"/>
      <c r="R15" s="6">
        <v>4</v>
      </c>
      <c r="S15" s="22" t="s">
        <v>180</v>
      </c>
      <c r="T15" s="13">
        <v>15.7</v>
      </c>
      <c r="U15" s="4" t="s">
        <v>181</v>
      </c>
      <c r="V15" s="6">
        <v>9.2799999999999994</v>
      </c>
      <c r="W15" s="11" t="s">
        <v>182</v>
      </c>
      <c r="X15" s="6">
        <v>9</v>
      </c>
      <c r="Y15" s="7"/>
      <c r="Z15" s="12"/>
      <c r="AA15" s="6"/>
      <c r="AB15" s="4"/>
    </row>
    <row r="16" spans="4:30">
      <c r="D16" s="10"/>
      <c r="E16" s="53" t="s">
        <v>70</v>
      </c>
      <c r="F16" s="12">
        <v>-1100</v>
      </c>
      <c r="G16" s="76"/>
      <c r="H16" s="17"/>
      <c r="I16" s="38"/>
      <c r="J16" s="6"/>
      <c r="K16" s="16"/>
      <c r="L16" s="35"/>
      <c r="M16" s="4"/>
      <c r="N16" s="13"/>
      <c r="O16" s="6"/>
      <c r="P16" s="6"/>
      <c r="Q16" s="15"/>
      <c r="R16" s="6">
        <v>5</v>
      </c>
      <c r="S16" s="22" t="s">
        <v>183</v>
      </c>
      <c r="T16" s="13">
        <v>9.6</v>
      </c>
      <c r="U16" s="4" t="s">
        <v>181</v>
      </c>
      <c r="V16" s="6">
        <v>9.27</v>
      </c>
      <c r="W16" s="11" t="s">
        <v>184</v>
      </c>
      <c r="X16" s="6">
        <v>28</v>
      </c>
      <c r="Y16" s="7"/>
      <c r="Z16" s="12"/>
      <c r="AA16" s="6"/>
      <c r="AB16" s="4"/>
      <c r="AC16" s="4"/>
      <c r="AD16" s="4"/>
    </row>
    <row r="17" spans="4:30" ht="17.100000000000001" thickBot="1">
      <c r="D17" s="10"/>
      <c r="E17" s="67" t="s">
        <v>20</v>
      </c>
      <c r="F17" s="68">
        <f>SUM(F15:F16)</f>
        <v>900</v>
      </c>
      <c r="G17" s="77"/>
      <c r="H17" s="17"/>
      <c r="I17" s="38"/>
      <c r="J17" s="17"/>
      <c r="K17" s="16"/>
      <c r="L17" s="35"/>
      <c r="M17" s="4"/>
      <c r="N17" s="13"/>
      <c r="O17" s="6"/>
      <c r="P17" s="6"/>
      <c r="Q17" s="15"/>
      <c r="R17" s="6">
        <v>9.4</v>
      </c>
      <c r="S17" s="22" t="s">
        <v>185</v>
      </c>
      <c r="T17" s="13">
        <v>12.55</v>
      </c>
      <c r="U17" s="4" t="s">
        <v>186</v>
      </c>
      <c r="V17" s="6">
        <v>1.5</v>
      </c>
      <c r="W17" s="11" t="s">
        <v>187</v>
      </c>
      <c r="X17" s="6">
        <v>10.6</v>
      </c>
      <c r="Y17" s="7"/>
      <c r="Z17" s="12"/>
      <c r="AA17" s="6"/>
      <c r="AB17" s="4"/>
      <c r="AC17" s="4"/>
      <c r="AD17" s="4"/>
    </row>
    <row r="18" spans="4:30" ht="17.100000000000001" thickBot="1">
      <c r="D18" s="10"/>
      <c r="E18" s="69"/>
      <c r="F18" s="69"/>
      <c r="G18" s="76"/>
      <c r="H18" s="17"/>
      <c r="I18" s="38"/>
      <c r="J18" s="17"/>
      <c r="K18" s="16"/>
      <c r="L18" s="35"/>
      <c r="M18" s="4"/>
      <c r="N18" s="13"/>
      <c r="O18" s="6"/>
      <c r="P18" s="6"/>
      <c r="Q18" s="15"/>
      <c r="R18" s="6">
        <v>15</v>
      </c>
      <c r="S18" s="22" t="s">
        <v>188</v>
      </c>
      <c r="T18" s="13">
        <v>22</v>
      </c>
      <c r="U18" s="4" t="s">
        <v>189</v>
      </c>
      <c r="V18" s="6">
        <v>3</v>
      </c>
      <c r="W18" s="11" t="s">
        <v>190</v>
      </c>
      <c r="X18" s="6">
        <v>24</v>
      </c>
      <c r="Y18" s="7"/>
      <c r="Z18" s="12"/>
      <c r="AA18" s="6"/>
      <c r="AB18" s="4"/>
      <c r="AC18" s="4"/>
      <c r="AD18" s="4"/>
    </row>
    <row r="19" spans="4:30">
      <c r="D19" s="10"/>
      <c r="E19" s="199" t="s">
        <v>40</v>
      </c>
      <c r="F19" s="200"/>
      <c r="G19" s="76"/>
      <c r="H19" s="17"/>
      <c r="I19" s="38"/>
      <c r="J19" s="6"/>
      <c r="K19" s="8"/>
      <c r="L19" s="39"/>
      <c r="M19" s="4"/>
      <c r="N19" s="13"/>
      <c r="O19" s="6"/>
      <c r="P19" s="6"/>
      <c r="Q19" s="15"/>
      <c r="R19" s="6">
        <v>10.62</v>
      </c>
      <c r="S19" s="22" t="s">
        <v>191</v>
      </c>
      <c r="T19" s="13">
        <v>6.75</v>
      </c>
      <c r="U19" s="4" t="s">
        <v>192</v>
      </c>
      <c r="V19" s="6">
        <v>18.5</v>
      </c>
      <c r="W19" s="11"/>
      <c r="X19" s="6"/>
      <c r="Y19" s="7"/>
      <c r="Z19" s="12"/>
      <c r="AA19" s="6"/>
      <c r="AB19" s="4"/>
      <c r="AC19" s="4"/>
      <c r="AD19" s="4"/>
    </row>
    <row r="20" spans="4:30">
      <c r="D20" s="10"/>
      <c r="E20" s="53" t="s">
        <v>77</v>
      </c>
      <c r="F20" s="54"/>
      <c r="G20" s="12"/>
      <c r="H20" s="6"/>
      <c r="I20" s="22"/>
      <c r="J20" s="5"/>
      <c r="K20" s="18"/>
      <c r="L20" s="40"/>
      <c r="M20" s="4"/>
      <c r="N20" s="13"/>
      <c r="O20" s="6"/>
      <c r="P20" s="6"/>
      <c r="Q20" s="15"/>
      <c r="R20" s="6">
        <v>13.5</v>
      </c>
      <c r="S20" s="22" t="s">
        <v>193</v>
      </c>
      <c r="T20" s="13">
        <v>2.2000000000000002</v>
      </c>
      <c r="U20" s="4"/>
      <c r="V20" s="6"/>
      <c r="W20" s="11"/>
      <c r="X20" s="6"/>
      <c r="Y20" s="7"/>
      <c r="Z20" s="12"/>
      <c r="AA20" s="6"/>
      <c r="AB20" s="4"/>
      <c r="AC20" s="4"/>
      <c r="AD20" s="4"/>
    </row>
    <row r="21" spans="4:30">
      <c r="D21" s="10"/>
      <c r="E21" s="53"/>
      <c r="F21" s="12"/>
      <c r="G21" s="75"/>
      <c r="H21" s="5"/>
      <c r="I21" s="37"/>
      <c r="J21" s="17"/>
      <c r="K21" s="16"/>
      <c r="L21" s="35"/>
      <c r="M21" s="4"/>
      <c r="N21" s="13"/>
      <c r="O21" s="6"/>
      <c r="P21" s="6"/>
      <c r="Q21" s="15"/>
      <c r="R21" s="6">
        <v>37</v>
      </c>
      <c r="S21" s="22" t="s">
        <v>194</v>
      </c>
      <c r="T21" s="13">
        <v>1.9</v>
      </c>
      <c r="U21" s="4"/>
      <c r="V21" s="6"/>
      <c r="W21" s="11"/>
      <c r="X21" s="16"/>
      <c r="Y21" s="28"/>
      <c r="Z21" s="19"/>
      <c r="AA21" s="16"/>
      <c r="AB21" s="4"/>
      <c r="AC21" s="4"/>
      <c r="AD21" s="4"/>
    </row>
    <row r="22" spans="4:30">
      <c r="D22" s="10"/>
      <c r="E22" s="56"/>
      <c r="F22" s="57"/>
      <c r="G22" s="76"/>
      <c r="H22" s="17"/>
      <c r="I22" s="38"/>
      <c r="J22" s="17"/>
      <c r="K22" s="16"/>
      <c r="L22" s="35"/>
      <c r="M22" s="4"/>
      <c r="N22" s="13"/>
      <c r="O22" s="6"/>
      <c r="P22" s="6"/>
      <c r="Q22" s="15"/>
      <c r="R22" s="6">
        <v>7.28</v>
      </c>
      <c r="S22" s="22"/>
      <c r="T22" s="13"/>
      <c r="U22" s="4"/>
      <c r="V22" s="6"/>
      <c r="W22" s="11"/>
      <c r="X22" s="6"/>
      <c r="Y22" s="7"/>
      <c r="Z22" s="12"/>
      <c r="AA22" s="6"/>
      <c r="AB22" s="4"/>
      <c r="AC22" s="4"/>
      <c r="AD22" s="4"/>
    </row>
    <row r="23" spans="4:30">
      <c r="D23" s="10"/>
      <c r="E23" s="58"/>
      <c r="F23" s="12"/>
      <c r="G23" s="76"/>
      <c r="H23" s="17"/>
      <c r="I23" s="38"/>
      <c r="J23" s="17"/>
      <c r="K23" s="16"/>
      <c r="L23" s="35"/>
      <c r="M23" s="4"/>
      <c r="N23" s="13"/>
      <c r="O23" s="6"/>
      <c r="P23" s="6"/>
      <c r="Q23" s="15"/>
      <c r="R23" s="6">
        <v>6.78</v>
      </c>
      <c r="S23" s="22"/>
      <c r="T23" s="13"/>
      <c r="U23" s="4"/>
      <c r="V23" s="6"/>
      <c r="W23" s="11"/>
      <c r="X23" s="6"/>
      <c r="Y23" s="7"/>
      <c r="Z23" s="12"/>
      <c r="AA23" s="6"/>
      <c r="AB23" s="4"/>
      <c r="AC23" s="4"/>
      <c r="AD23" s="4"/>
    </row>
    <row r="24" spans="4:30">
      <c r="D24" s="10"/>
      <c r="E24" s="58"/>
      <c r="F24" s="59"/>
      <c r="G24" s="76"/>
      <c r="H24" s="17"/>
      <c r="I24" s="38"/>
      <c r="J24" s="17"/>
      <c r="K24" s="16"/>
      <c r="L24" s="35"/>
      <c r="M24" s="4"/>
      <c r="N24" s="13"/>
      <c r="O24" s="6"/>
      <c r="P24" s="6"/>
      <c r="Q24" s="15"/>
      <c r="R24" s="6">
        <v>10.3</v>
      </c>
      <c r="S24" s="22"/>
      <c r="T24" s="13"/>
      <c r="U24" s="4"/>
      <c r="V24" s="6"/>
      <c r="W24" s="11"/>
      <c r="X24" s="6"/>
      <c r="Y24" s="7"/>
      <c r="Z24" s="12"/>
      <c r="AA24" s="6"/>
      <c r="AB24" s="4"/>
      <c r="AC24" s="4"/>
      <c r="AD24" s="4"/>
    </row>
    <row r="25" spans="4:30">
      <c r="D25" s="10"/>
      <c r="E25" s="60"/>
      <c r="F25" s="61"/>
      <c r="G25" s="76"/>
      <c r="H25" s="17"/>
      <c r="I25" s="38"/>
      <c r="J25" s="4"/>
      <c r="K25" s="14"/>
      <c r="L25" s="41"/>
      <c r="M25" s="4"/>
      <c r="N25" s="13"/>
      <c r="O25" s="6"/>
      <c r="P25" s="6"/>
      <c r="Q25" s="15"/>
      <c r="R25" s="6">
        <v>4.29</v>
      </c>
      <c r="S25" s="22"/>
      <c r="T25" s="13"/>
      <c r="U25" s="4"/>
      <c r="V25" s="6"/>
      <c r="W25" s="11"/>
      <c r="X25" s="6"/>
      <c r="Y25" s="7"/>
      <c r="Z25" s="12"/>
      <c r="AA25" s="6"/>
      <c r="AB25" s="4"/>
      <c r="AC25" s="4"/>
      <c r="AD25" s="4"/>
    </row>
    <row r="26" spans="4:30" ht="17.100000000000001" thickBot="1">
      <c r="D26" s="10"/>
      <c r="E26" s="67" t="s">
        <v>20</v>
      </c>
      <c r="F26" s="68">
        <f>SUM(F20:F25)</f>
        <v>0</v>
      </c>
      <c r="G26" s="76"/>
      <c r="H26" s="17"/>
      <c r="I26" s="38"/>
      <c r="J26" s="4"/>
      <c r="K26" s="14"/>
      <c r="L26" s="41"/>
      <c r="M26" s="4"/>
      <c r="N26" s="13"/>
      <c r="O26" s="6"/>
      <c r="P26" s="6"/>
      <c r="Q26" s="15"/>
      <c r="R26" s="6">
        <v>1.06</v>
      </c>
      <c r="S26" s="22"/>
      <c r="T26" s="13"/>
      <c r="U26" s="4"/>
      <c r="V26" s="6"/>
      <c r="W26" s="11"/>
      <c r="X26" s="6"/>
      <c r="Y26" s="7"/>
      <c r="Z26" s="12"/>
      <c r="AA26" s="6"/>
      <c r="AB26" s="4"/>
      <c r="AC26" s="4"/>
      <c r="AD26" s="4"/>
    </row>
    <row r="27" spans="4:30" ht="17.100000000000001" thickBot="1">
      <c r="D27" s="10"/>
      <c r="E27" s="69"/>
      <c r="F27" s="69"/>
      <c r="G27" s="76"/>
      <c r="H27" s="17"/>
      <c r="I27" s="38"/>
      <c r="J27" s="97" t="s">
        <v>20</v>
      </c>
      <c r="K27" s="20">
        <f>SUM(K10:K26)</f>
        <v>1161.8</v>
      </c>
      <c r="L27" s="41"/>
      <c r="M27" s="4"/>
      <c r="N27" s="13"/>
      <c r="O27" s="6"/>
      <c r="P27" s="6"/>
      <c r="Q27" s="15"/>
      <c r="R27" s="6"/>
      <c r="S27" s="22"/>
      <c r="T27" s="13"/>
      <c r="U27" s="4"/>
      <c r="V27" s="6"/>
      <c r="W27" s="11"/>
      <c r="X27" s="6"/>
      <c r="Y27" s="7"/>
      <c r="Z27" s="12"/>
      <c r="AA27" s="6"/>
      <c r="AB27" s="4"/>
      <c r="AC27" s="4"/>
      <c r="AD27" s="4"/>
    </row>
    <row r="28" spans="4:30">
      <c r="D28" s="10"/>
      <c r="E28" s="199" t="s">
        <v>78</v>
      </c>
      <c r="F28" s="200"/>
      <c r="G28" s="55"/>
      <c r="H28" s="4"/>
      <c r="I28" s="21"/>
      <c r="J28" s="4" t="s">
        <v>79</v>
      </c>
      <c r="K28" s="8">
        <v>0</v>
      </c>
      <c r="L28" s="41"/>
      <c r="M28" s="4"/>
      <c r="N28" s="13"/>
      <c r="O28" s="6"/>
      <c r="P28" s="6"/>
      <c r="Q28" s="15"/>
      <c r="R28" s="6"/>
      <c r="S28" s="22"/>
      <c r="T28" s="13"/>
      <c r="U28" s="4"/>
      <c r="V28" s="6"/>
      <c r="W28" s="11" t="s">
        <v>122</v>
      </c>
      <c r="X28" s="6"/>
      <c r="Y28" s="7"/>
      <c r="Z28" s="12"/>
      <c r="AA28" s="6"/>
      <c r="AB28" s="4"/>
      <c r="AC28" s="6"/>
      <c r="AD28" s="4"/>
    </row>
    <row r="29" spans="4:30">
      <c r="D29" s="10"/>
      <c r="E29" s="53" t="s">
        <v>67</v>
      </c>
      <c r="F29" s="54"/>
      <c r="G29" s="55"/>
      <c r="H29" s="4"/>
      <c r="I29" s="21"/>
      <c r="J29" s="4" t="s">
        <v>80</v>
      </c>
      <c r="K29" s="8"/>
      <c r="L29" s="39"/>
      <c r="M29" s="4"/>
      <c r="N29" s="13"/>
      <c r="O29" s="6"/>
      <c r="P29" s="6"/>
      <c r="Q29" s="15"/>
      <c r="R29" s="6"/>
      <c r="S29" s="22"/>
      <c r="T29" s="13"/>
      <c r="U29" s="4"/>
      <c r="V29" s="6"/>
      <c r="W29" s="11"/>
      <c r="X29" s="6"/>
      <c r="Y29" s="7"/>
      <c r="Z29" s="12"/>
      <c r="AA29" s="6"/>
      <c r="AB29" s="4"/>
      <c r="AC29" s="4"/>
      <c r="AD29" s="4"/>
    </row>
    <row r="30" spans="4:30">
      <c r="D30" s="10"/>
      <c r="E30" s="53" t="s">
        <v>70</v>
      </c>
      <c r="F30" s="12"/>
      <c r="G30" s="55"/>
      <c r="H30" s="4"/>
      <c r="I30" s="21"/>
      <c r="J30" s="124" t="s">
        <v>11</v>
      </c>
      <c r="K30" s="125">
        <f>Y33</f>
        <v>0</v>
      </c>
      <c r="L30" s="39"/>
      <c r="M30" s="4"/>
      <c r="N30" s="13"/>
      <c r="O30" s="6"/>
      <c r="P30" s="6"/>
      <c r="Q30" s="15"/>
      <c r="R30" s="6"/>
      <c r="S30" s="22"/>
      <c r="T30" s="13"/>
      <c r="U30" s="4"/>
      <c r="V30" s="6"/>
      <c r="W30" s="11"/>
      <c r="X30" s="6"/>
      <c r="Y30" s="7"/>
      <c r="Z30" s="12"/>
      <c r="AA30" s="6"/>
      <c r="AB30" s="4"/>
      <c r="AC30" s="4"/>
      <c r="AD30" s="4"/>
    </row>
    <row r="31" spans="4:30">
      <c r="D31" s="10"/>
      <c r="E31" s="56"/>
      <c r="F31" s="57"/>
      <c r="G31" s="55"/>
      <c r="H31" s="4"/>
      <c r="I31" s="21"/>
      <c r="J31" s="4" t="s">
        <v>81</v>
      </c>
      <c r="K31" s="8">
        <v>0</v>
      </c>
      <c r="L31" s="39"/>
      <c r="M31" s="4"/>
      <c r="N31" s="13"/>
      <c r="O31" s="6"/>
      <c r="P31" s="6"/>
      <c r="Q31" s="15"/>
      <c r="R31" s="6"/>
      <c r="S31" s="22"/>
      <c r="T31" s="13"/>
      <c r="U31" s="4"/>
      <c r="V31" s="6"/>
      <c r="W31" s="11"/>
      <c r="X31" s="6"/>
      <c r="Y31" s="7"/>
      <c r="Z31" s="12"/>
      <c r="AA31" s="6"/>
      <c r="AB31" s="4"/>
    </row>
    <row r="32" spans="4:30">
      <c r="D32" s="10"/>
      <c r="E32" s="58"/>
      <c r="F32" s="12"/>
      <c r="G32" s="55"/>
      <c r="H32" s="4"/>
      <c r="I32" s="21"/>
      <c r="J32" s="4" t="s">
        <v>82</v>
      </c>
      <c r="K32" s="8">
        <v>0</v>
      </c>
      <c r="L32" s="39"/>
      <c r="M32" s="4"/>
      <c r="N32" s="13"/>
      <c r="O32" s="6"/>
      <c r="P32" s="6"/>
      <c r="Q32" s="15"/>
      <c r="R32" s="6"/>
      <c r="S32" s="22"/>
      <c r="T32" s="13"/>
      <c r="U32" s="4"/>
      <c r="V32" s="6"/>
      <c r="W32" s="11"/>
      <c r="X32" s="6"/>
      <c r="Y32" s="7"/>
      <c r="Z32" s="12"/>
      <c r="AA32" s="6"/>
      <c r="AB32" s="4"/>
    </row>
    <row r="33" spans="4:28">
      <c r="D33" s="10"/>
      <c r="E33" s="58"/>
      <c r="F33" s="59"/>
      <c r="G33" s="55"/>
      <c r="H33" s="4"/>
      <c r="I33" s="208" t="s">
        <v>83</v>
      </c>
      <c r="J33" s="209"/>
      <c r="K33" s="81">
        <f>K27-K28-K29-K30-K31-K32</f>
        <v>1161.8</v>
      </c>
      <c r="L33" s="210">
        <f>SUM(N10:N32)</f>
        <v>548</v>
      </c>
      <c r="M33" s="211"/>
      <c r="N33" s="212"/>
      <c r="O33" s="213">
        <f>SUM(P10:P32)</f>
        <v>19</v>
      </c>
      <c r="P33" s="214"/>
      <c r="Q33" s="201">
        <f>SUM(R10:R32)</f>
        <v>178.92000000000002</v>
      </c>
      <c r="R33" s="202"/>
      <c r="S33" s="203">
        <f>SUM(T10:T32)</f>
        <v>143.19999999999999</v>
      </c>
      <c r="T33" s="204"/>
      <c r="U33" s="205">
        <f>SUM(V10:V32)</f>
        <v>165.14000000000001</v>
      </c>
      <c r="V33" s="206"/>
      <c r="W33" s="205">
        <f>SUM(X10:X32)</f>
        <v>106.6</v>
      </c>
      <c r="X33" s="207"/>
      <c r="Y33" s="189">
        <f>SUM(Z10:Z32)</f>
        <v>0</v>
      </c>
      <c r="Z33" s="190"/>
      <c r="AA33" s="6"/>
      <c r="AB33" s="4"/>
    </row>
    <row r="34" spans="4:28" ht="17.100000000000001" thickBot="1">
      <c r="D34" s="10"/>
      <c r="E34" s="60"/>
      <c r="F34" s="61"/>
      <c r="G34" s="55"/>
      <c r="H34" s="4"/>
      <c r="I34" s="184" t="s">
        <v>31</v>
      </c>
      <c r="J34" s="185"/>
      <c r="K34" s="43">
        <f>K33-L35</f>
        <v>0.9399999999998272</v>
      </c>
      <c r="L34" s="186">
        <f>SUM(L33:R33)</f>
        <v>745.92000000000007</v>
      </c>
      <c r="M34" s="187"/>
      <c r="N34" s="187"/>
      <c r="O34" s="187"/>
      <c r="P34" s="187"/>
      <c r="Q34" s="187"/>
      <c r="R34" s="188"/>
      <c r="S34" s="193">
        <f>S33+U33+W33</f>
        <v>414.94000000000005</v>
      </c>
      <c r="T34" s="194"/>
      <c r="U34" s="194"/>
      <c r="V34" s="194"/>
      <c r="W34" s="194"/>
      <c r="X34" s="195"/>
      <c r="Y34" s="189"/>
      <c r="Z34" s="190"/>
      <c r="AA34" s="6"/>
      <c r="AB34" s="4"/>
    </row>
    <row r="35" spans="4:28" ht="21" thickTop="1" thickBot="1">
      <c r="D35" s="10"/>
      <c r="E35" s="67" t="s">
        <v>20</v>
      </c>
      <c r="F35" s="68">
        <f>SUM(F29:F34)</f>
        <v>0</v>
      </c>
      <c r="G35" s="55"/>
      <c r="H35" s="4"/>
      <c r="I35" s="4"/>
      <c r="J35" s="6"/>
      <c r="K35" s="8"/>
      <c r="L35" s="196">
        <f>L34+S34</f>
        <v>1160.8600000000001</v>
      </c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8"/>
      <c r="Y35" s="191"/>
      <c r="Z35" s="192"/>
      <c r="AA35" s="6"/>
      <c r="AB35" s="4"/>
    </row>
    <row r="36" spans="4:28" ht="17.100000000000001" thickBot="1">
      <c r="D36" s="10"/>
      <c r="E36" s="70"/>
      <c r="F36" s="70"/>
      <c r="G36" s="5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4:28">
      <c r="D37" s="1"/>
      <c r="E37" s="180" t="s">
        <v>84</v>
      </c>
      <c r="F37" s="181"/>
      <c r="G37" s="2"/>
    </row>
    <row r="38" spans="4:28">
      <c r="D38" s="1"/>
      <c r="E38" s="182" t="s">
        <v>85</v>
      </c>
      <c r="F38" s="183"/>
      <c r="G38" s="2"/>
    </row>
    <row r="39" spans="4:28">
      <c r="D39" s="1"/>
      <c r="E39" s="60" t="s">
        <v>67</v>
      </c>
      <c r="F39" s="62">
        <v>500</v>
      </c>
      <c r="G39" s="2"/>
      <c r="N39" s="130"/>
    </row>
    <row r="40" spans="4:28">
      <c r="D40" s="1"/>
      <c r="E40" s="60" t="s">
        <v>70</v>
      </c>
      <c r="F40" s="62">
        <f>K31</f>
        <v>0</v>
      </c>
      <c r="G40" s="2"/>
      <c r="N40" s="130"/>
    </row>
    <row r="41" spans="4:28">
      <c r="D41" s="1"/>
      <c r="E41" s="65" t="s">
        <v>20</v>
      </c>
      <c r="F41" s="66">
        <f>SUM(F39:F40)</f>
        <v>500</v>
      </c>
      <c r="G41" s="2"/>
    </row>
    <row r="42" spans="4:28">
      <c r="D42" s="1"/>
      <c r="E42" s="182" t="s">
        <v>86</v>
      </c>
      <c r="F42" s="183"/>
      <c r="G42" s="2"/>
    </row>
    <row r="43" spans="4:28">
      <c r="D43" s="1"/>
      <c r="E43" s="60" t="s">
        <v>67</v>
      </c>
      <c r="F43" s="62">
        <v>180</v>
      </c>
      <c r="G43" s="2"/>
    </row>
    <row r="44" spans="4:28">
      <c r="D44" s="1"/>
      <c r="E44" s="60" t="s">
        <v>70</v>
      </c>
      <c r="F44" s="62">
        <f>K32</f>
        <v>0</v>
      </c>
      <c r="G44" s="2"/>
    </row>
    <row r="45" spans="4:28">
      <c r="D45" s="1"/>
      <c r="E45" s="65" t="s">
        <v>20</v>
      </c>
      <c r="F45" s="66">
        <f>SUM(F43:F44)</f>
        <v>180</v>
      </c>
      <c r="G45" s="2"/>
    </row>
    <row r="46" spans="4:28" ht="17.100000000000001" thickBot="1">
      <c r="D46" s="1"/>
      <c r="E46" s="63" t="s">
        <v>20</v>
      </c>
      <c r="F46" s="64">
        <f>F45+F41</f>
        <v>680</v>
      </c>
      <c r="G46" s="2"/>
    </row>
    <row r="47" spans="4:28" ht="17.100000000000001" thickBot="1">
      <c r="D47" s="78"/>
      <c r="E47" s="79"/>
      <c r="F47" s="79"/>
      <c r="G47" s="80"/>
    </row>
  </sheetData>
  <mergeCells count="29">
    <mergeCell ref="E7:F7"/>
    <mergeCell ref="I7:Z7"/>
    <mergeCell ref="AC7:AD7"/>
    <mergeCell ref="I8:K8"/>
    <mergeCell ref="L8:N8"/>
    <mergeCell ref="O8:P8"/>
    <mergeCell ref="Q8:R8"/>
    <mergeCell ref="S8:T8"/>
    <mergeCell ref="U8:V8"/>
    <mergeCell ref="W8:X8"/>
    <mergeCell ref="Y8:Z8"/>
    <mergeCell ref="E14:F14"/>
    <mergeCell ref="E19:F19"/>
    <mergeCell ref="E28:F28"/>
    <mergeCell ref="I33:J33"/>
    <mergeCell ref="L33:N33"/>
    <mergeCell ref="E38:F38"/>
    <mergeCell ref="E42:F42"/>
    <mergeCell ref="W33:X33"/>
    <mergeCell ref="Y33:Z35"/>
    <mergeCell ref="I34:J34"/>
    <mergeCell ref="L34:R34"/>
    <mergeCell ref="S34:X34"/>
    <mergeCell ref="L35:X35"/>
    <mergeCell ref="O33:P33"/>
    <mergeCell ref="Q33:R33"/>
    <mergeCell ref="S33:T33"/>
    <mergeCell ref="U33:V33"/>
    <mergeCell ref="E37:F3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2354-24FE-4900-ABA1-0680DFCC4D4B}">
  <sheetPr>
    <tabColor theme="9" tint="-0.249977111117893"/>
  </sheetPr>
  <dimension ref="D6:AD47"/>
  <sheetViews>
    <sheetView topLeftCell="N6" zoomScale="88" workbookViewId="0">
      <selection activeCell="S18" sqref="S18"/>
    </sheetView>
  </sheetViews>
  <sheetFormatPr defaultColWidth="11" defaultRowHeight="15.75"/>
  <cols>
    <col min="5" max="5" width="16.875" customWidth="1"/>
    <col min="6" max="6" width="19.375" customWidth="1"/>
    <col min="7" max="9" width="9"/>
    <col min="10" max="10" width="21.375" customWidth="1"/>
    <col min="11" max="11" width="11.875" customWidth="1"/>
    <col min="12" max="12" width="9"/>
    <col min="13" max="13" width="23.625" customWidth="1"/>
    <col min="14" max="16" width="9"/>
    <col min="17" max="17" width="29.125" customWidth="1"/>
    <col min="18" max="18" width="9"/>
    <col min="19" max="19" width="27" customWidth="1"/>
    <col min="20" max="20" width="14.125" customWidth="1"/>
    <col min="21" max="21" width="15.25" customWidth="1"/>
    <col min="22" max="22" width="9"/>
    <col min="23" max="23" width="19" customWidth="1"/>
    <col min="24" max="24" width="15" customWidth="1"/>
    <col min="25" max="25" width="16.375" customWidth="1"/>
    <col min="26" max="28" width="9"/>
    <col min="29" max="29" width="26.125" customWidth="1"/>
    <col min="30" max="30" width="76" customWidth="1"/>
  </cols>
  <sheetData>
    <row r="6" spans="4:30">
      <c r="D6" s="71"/>
      <c r="E6" s="72"/>
      <c r="F6" s="72"/>
      <c r="G6" s="7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4:30" ht="21">
      <c r="D7" s="10"/>
      <c r="E7" s="215" t="s">
        <v>0</v>
      </c>
      <c r="F7" s="216"/>
      <c r="G7" s="74"/>
      <c r="H7" s="3"/>
      <c r="I7" s="217" t="s">
        <v>195</v>
      </c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9"/>
      <c r="AA7" s="33"/>
      <c r="AB7" s="4"/>
      <c r="AC7" s="220" t="s">
        <v>2</v>
      </c>
      <c r="AD7" s="221"/>
    </row>
    <row r="8" spans="4:30">
      <c r="D8" s="10"/>
      <c r="E8" s="45" t="s">
        <v>3</v>
      </c>
      <c r="F8" s="46">
        <f>L34</f>
        <v>837.87</v>
      </c>
      <c r="G8" s="75"/>
      <c r="H8" s="5"/>
      <c r="I8" s="222" t="s">
        <v>4</v>
      </c>
      <c r="J8" s="223"/>
      <c r="K8" s="224"/>
      <c r="L8" s="225" t="s">
        <v>5</v>
      </c>
      <c r="M8" s="226"/>
      <c r="N8" s="227"/>
      <c r="O8" s="228" t="s">
        <v>6</v>
      </c>
      <c r="P8" s="229"/>
      <c r="Q8" s="230" t="s">
        <v>7</v>
      </c>
      <c r="R8" s="231"/>
      <c r="S8" s="232" t="s">
        <v>8</v>
      </c>
      <c r="T8" s="233"/>
      <c r="U8" s="234" t="s">
        <v>9</v>
      </c>
      <c r="V8" s="235"/>
      <c r="W8" s="236" t="s">
        <v>10</v>
      </c>
      <c r="X8" s="235"/>
      <c r="Y8" s="237" t="s">
        <v>11</v>
      </c>
      <c r="Z8" s="238"/>
      <c r="AA8" s="5"/>
      <c r="AB8" s="4"/>
      <c r="AC8" s="82" t="s">
        <v>5</v>
      </c>
      <c r="AD8" s="83" t="s">
        <v>12</v>
      </c>
    </row>
    <row r="9" spans="4:30">
      <c r="D9" s="10"/>
      <c r="E9" s="47" t="s">
        <v>13</v>
      </c>
      <c r="F9" s="48">
        <f>S34</f>
        <v>181.53000000000003</v>
      </c>
      <c r="G9" s="12"/>
      <c r="H9" s="6"/>
      <c r="I9" s="89" t="s">
        <v>14</v>
      </c>
      <c r="J9" s="36" t="s">
        <v>15</v>
      </c>
      <c r="K9" s="36" t="s">
        <v>16</v>
      </c>
      <c r="L9" s="86" t="s">
        <v>14</v>
      </c>
      <c r="M9" s="34" t="s">
        <v>17</v>
      </c>
      <c r="N9" s="87" t="s">
        <v>16</v>
      </c>
      <c r="O9" s="34" t="s">
        <v>17</v>
      </c>
      <c r="P9" s="34" t="s">
        <v>16</v>
      </c>
      <c r="Q9" s="9" t="s">
        <v>17</v>
      </c>
      <c r="R9" s="34" t="s">
        <v>16</v>
      </c>
      <c r="S9" s="88" t="s">
        <v>17</v>
      </c>
      <c r="T9" s="87" t="s">
        <v>16</v>
      </c>
      <c r="U9" s="34" t="s">
        <v>17</v>
      </c>
      <c r="V9" s="34" t="s">
        <v>16</v>
      </c>
      <c r="W9" s="9" t="s">
        <v>17</v>
      </c>
      <c r="X9" s="34" t="s">
        <v>16</v>
      </c>
      <c r="Y9" s="111" t="s">
        <v>17</v>
      </c>
      <c r="Z9" s="112" t="s">
        <v>16</v>
      </c>
      <c r="AA9" s="34"/>
      <c r="AB9" s="4"/>
      <c r="AC9" s="82" t="s">
        <v>18</v>
      </c>
      <c r="AD9" s="83" t="s">
        <v>19</v>
      </c>
    </row>
    <row r="10" spans="4:30">
      <c r="D10" s="10"/>
      <c r="E10" s="49" t="s">
        <v>20</v>
      </c>
      <c r="F10" s="50">
        <f>F9+F8</f>
        <v>1019.4000000000001</v>
      </c>
      <c r="G10" s="12"/>
      <c r="H10" s="6"/>
      <c r="I10" s="22"/>
      <c r="J10" s="6" t="s">
        <v>21</v>
      </c>
      <c r="K10" s="8">
        <v>0</v>
      </c>
      <c r="L10" s="39"/>
      <c r="M10" s="4" t="s">
        <v>23</v>
      </c>
      <c r="N10" s="13">
        <v>500</v>
      </c>
      <c r="O10" s="4"/>
      <c r="P10" s="13"/>
      <c r="Q10" s="15"/>
      <c r="R10" s="6">
        <v>5</v>
      </c>
      <c r="S10" s="22" t="s">
        <v>172</v>
      </c>
      <c r="T10" s="13">
        <v>19.5</v>
      </c>
      <c r="U10" s="4" t="s">
        <v>164</v>
      </c>
      <c r="V10" s="6">
        <v>39</v>
      </c>
      <c r="W10" s="11" t="s">
        <v>196</v>
      </c>
      <c r="X10" s="6">
        <v>2</v>
      </c>
      <c r="Y10" s="7" t="s">
        <v>29</v>
      </c>
      <c r="Z10" s="12"/>
      <c r="AA10" s="6"/>
      <c r="AB10" s="4"/>
      <c r="AC10" s="82" t="s">
        <v>7</v>
      </c>
      <c r="AD10" s="83" t="s">
        <v>30</v>
      </c>
    </row>
    <row r="11" spans="4:30">
      <c r="D11" s="10"/>
      <c r="E11" s="51" t="s">
        <v>31</v>
      </c>
      <c r="F11" s="52">
        <f>K34</f>
        <v>-119.40000000000009</v>
      </c>
      <c r="G11" s="12"/>
      <c r="H11" s="6"/>
      <c r="I11" s="22"/>
      <c r="J11" s="6" t="s">
        <v>166</v>
      </c>
      <c r="K11" s="8">
        <v>900</v>
      </c>
      <c r="L11" s="39" t="s">
        <v>197</v>
      </c>
      <c r="M11" s="4" t="s">
        <v>93</v>
      </c>
      <c r="N11" s="13">
        <v>25</v>
      </c>
      <c r="O11" s="4"/>
      <c r="P11" s="6"/>
      <c r="Q11" s="15"/>
      <c r="R11" s="6">
        <v>2</v>
      </c>
      <c r="S11" s="22" t="s">
        <v>198</v>
      </c>
      <c r="T11" s="13">
        <v>2</v>
      </c>
      <c r="U11" s="4" t="s">
        <v>199</v>
      </c>
      <c r="V11" s="6">
        <v>7</v>
      </c>
      <c r="W11" s="11" t="s">
        <v>200</v>
      </c>
      <c r="X11" s="6">
        <v>10</v>
      </c>
      <c r="Y11" s="7" t="s">
        <v>40</v>
      </c>
      <c r="Z11" s="12"/>
      <c r="AA11" s="6"/>
      <c r="AB11" s="4"/>
      <c r="AC11" s="84" t="s">
        <v>8</v>
      </c>
      <c r="AD11" s="85" t="s">
        <v>41</v>
      </c>
    </row>
    <row r="12" spans="4:30">
      <c r="D12" s="10"/>
      <c r="E12" s="4"/>
      <c r="F12" s="17"/>
      <c r="G12" s="12"/>
      <c r="H12" s="6"/>
      <c r="I12" s="22"/>
      <c r="J12" s="6"/>
      <c r="K12" s="8"/>
      <c r="L12" s="39"/>
      <c r="M12" s="4" t="s">
        <v>44</v>
      </c>
      <c r="N12" s="13"/>
      <c r="O12" s="6"/>
      <c r="P12" s="6"/>
      <c r="Q12" s="15"/>
      <c r="R12" s="6">
        <v>16.5</v>
      </c>
      <c r="S12" s="22" t="s">
        <v>201</v>
      </c>
      <c r="T12" s="13">
        <v>12</v>
      </c>
      <c r="U12" s="4"/>
      <c r="V12" s="6"/>
      <c r="W12" s="11" t="s">
        <v>144</v>
      </c>
      <c r="X12" s="6">
        <v>3.8</v>
      </c>
      <c r="Y12" s="7"/>
      <c r="Z12" s="12"/>
      <c r="AA12" s="6"/>
      <c r="AB12" s="4"/>
      <c r="AC12" s="84" t="s">
        <v>49</v>
      </c>
      <c r="AD12" s="85" t="s">
        <v>50</v>
      </c>
    </row>
    <row r="13" spans="4:30">
      <c r="D13" s="10"/>
      <c r="E13" s="4"/>
      <c r="F13" s="6"/>
      <c r="G13" s="12"/>
      <c r="H13" s="6"/>
      <c r="I13" s="21"/>
      <c r="J13" s="6"/>
      <c r="K13" s="8"/>
      <c r="L13" s="39" t="s">
        <v>202</v>
      </c>
      <c r="M13" s="4" t="s">
        <v>103</v>
      </c>
      <c r="N13" s="13">
        <v>32</v>
      </c>
      <c r="O13" s="6"/>
      <c r="P13" s="6"/>
      <c r="Q13" s="15"/>
      <c r="R13" s="23">
        <v>14</v>
      </c>
      <c r="S13" s="6" t="s">
        <v>203</v>
      </c>
      <c r="T13" s="13">
        <v>21.83</v>
      </c>
      <c r="U13" s="4"/>
      <c r="V13" s="6"/>
      <c r="W13" s="11" t="s">
        <v>204</v>
      </c>
      <c r="X13" s="6">
        <v>2</v>
      </c>
      <c r="Y13" s="7"/>
      <c r="Z13" s="12"/>
      <c r="AA13" s="6"/>
      <c r="AB13" s="4"/>
      <c r="AC13" s="84" t="s">
        <v>10</v>
      </c>
      <c r="AD13" s="85" t="s">
        <v>57</v>
      </c>
    </row>
    <row r="14" spans="4:30">
      <c r="D14" s="10"/>
      <c r="E14" s="199" t="s">
        <v>58</v>
      </c>
      <c r="F14" s="200"/>
      <c r="G14" s="12"/>
      <c r="H14" s="6"/>
      <c r="I14" s="22"/>
      <c r="J14" s="6"/>
      <c r="K14" s="8"/>
      <c r="L14" s="39"/>
      <c r="M14" s="4" t="s">
        <v>62</v>
      </c>
      <c r="N14" s="13">
        <v>10</v>
      </c>
      <c r="O14" s="6"/>
      <c r="P14" s="6"/>
      <c r="Q14" s="15" t="s">
        <v>205</v>
      </c>
      <c r="R14" s="23">
        <v>22.5</v>
      </c>
      <c r="S14" s="6" t="s">
        <v>206</v>
      </c>
      <c r="T14" s="13">
        <v>12.4</v>
      </c>
      <c r="U14" s="4"/>
      <c r="V14" s="6"/>
      <c r="W14" s="11"/>
      <c r="X14" s="6"/>
      <c r="Y14" s="7"/>
      <c r="Z14" s="12"/>
      <c r="AA14" s="6"/>
      <c r="AB14" s="4"/>
      <c r="AC14" s="122" t="s">
        <v>65</v>
      </c>
      <c r="AD14" s="123" t="s">
        <v>66</v>
      </c>
    </row>
    <row r="15" spans="4:30">
      <c r="D15" s="10"/>
      <c r="E15" s="53" t="s">
        <v>67</v>
      </c>
      <c r="F15" s="54">
        <v>900</v>
      </c>
      <c r="G15" s="75"/>
      <c r="H15" s="5"/>
      <c r="I15" s="44"/>
      <c r="J15" s="6"/>
      <c r="K15" s="8"/>
      <c r="L15" s="39" t="s">
        <v>207</v>
      </c>
      <c r="M15" s="4" t="s">
        <v>208</v>
      </c>
      <c r="N15" s="13">
        <v>25</v>
      </c>
      <c r="O15" s="6"/>
      <c r="P15" s="6"/>
      <c r="Q15" s="15"/>
      <c r="R15" s="6">
        <v>9.27</v>
      </c>
      <c r="S15" s="22" t="s">
        <v>209</v>
      </c>
      <c r="T15" s="13">
        <v>50</v>
      </c>
      <c r="U15" s="4"/>
      <c r="V15" s="6"/>
      <c r="W15" s="11"/>
      <c r="X15" s="6"/>
      <c r="Y15" s="7"/>
      <c r="Z15" s="12"/>
      <c r="AA15" s="6"/>
      <c r="AB15" s="4"/>
    </row>
    <row r="16" spans="4:30">
      <c r="D16" s="10"/>
      <c r="E16" s="53" t="s">
        <v>70</v>
      </c>
      <c r="F16" s="12">
        <v>-900</v>
      </c>
      <c r="G16" s="76"/>
      <c r="H16" s="17"/>
      <c r="I16" s="38"/>
      <c r="J16" s="6"/>
      <c r="K16" s="16"/>
      <c r="L16" s="35" t="s">
        <v>210</v>
      </c>
      <c r="M16" s="4" t="s">
        <v>62</v>
      </c>
      <c r="N16" s="13">
        <v>25.12</v>
      </c>
      <c r="O16" s="6"/>
      <c r="P16" s="6"/>
      <c r="Q16" s="15"/>
      <c r="R16" s="6">
        <v>2.5</v>
      </c>
      <c r="S16" s="22"/>
      <c r="T16" s="13"/>
      <c r="U16" s="4"/>
      <c r="V16" s="6"/>
      <c r="W16" s="11"/>
      <c r="X16" s="6"/>
      <c r="Y16" s="7"/>
      <c r="Z16" s="12"/>
      <c r="AA16" s="6"/>
      <c r="AB16" s="4"/>
      <c r="AC16" s="4"/>
      <c r="AD16" s="4"/>
    </row>
    <row r="17" spans="4:30">
      <c r="D17" s="10"/>
      <c r="E17" s="67" t="s">
        <v>20</v>
      </c>
      <c r="F17" s="68">
        <f>SUM(F15:F16)</f>
        <v>0</v>
      </c>
      <c r="G17" s="77"/>
      <c r="H17" s="17"/>
      <c r="I17" s="38"/>
      <c r="J17" s="17"/>
      <c r="K17" s="16"/>
      <c r="L17" s="35"/>
      <c r="M17" s="4"/>
      <c r="N17" s="13"/>
      <c r="O17" s="6"/>
      <c r="P17" s="6"/>
      <c r="Q17" s="15"/>
      <c r="R17" s="6">
        <v>4.99</v>
      </c>
      <c r="S17" s="22"/>
      <c r="T17" s="13"/>
      <c r="U17" s="4"/>
      <c r="V17" s="6"/>
      <c r="W17" s="11"/>
      <c r="X17" s="6"/>
      <c r="Y17" s="7"/>
      <c r="Z17" s="12"/>
      <c r="AA17" s="6"/>
      <c r="AB17" s="4"/>
      <c r="AC17" s="4"/>
      <c r="AD17" s="4"/>
    </row>
    <row r="18" spans="4:30">
      <c r="D18" s="10"/>
      <c r="E18" s="69"/>
      <c r="F18" s="69"/>
      <c r="G18" s="76"/>
      <c r="H18" s="17"/>
      <c r="I18" s="38"/>
      <c r="J18" s="17"/>
      <c r="K18" s="16"/>
      <c r="L18" s="35"/>
      <c r="M18" s="4"/>
      <c r="N18" s="13"/>
      <c r="O18" s="6"/>
      <c r="P18" s="6"/>
      <c r="Q18" s="15"/>
      <c r="R18" s="6">
        <v>4.25</v>
      </c>
      <c r="S18" s="22"/>
      <c r="T18" s="13"/>
      <c r="U18" s="4"/>
      <c r="V18" s="6"/>
      <c r="W18" s="11"/>
      <c r="X18" s="6"/>
      <c r="Y18" s="7"/>
      <c r="Z18" s="12"/>
      <c r="AA18" s="6"/>
      <c r="AB18" s="4"/>
      <c r="AC18" s="4"/>
      <c r="AD18" s="4"/>
    </row>
    <row r="19" spans="4:30">
      <c r="D19" s="10"/>
      <c r="E19" s="199" t="s">
        <v>40</v>
      </c>
      <c r="F19" s="200"/>
      <c r="G19" s="76"/>
      <c r="H19" s="17"/>
      <c r="I19" s="38"/>
      <c r="J19" s="6"/>
      <c r="K19" s="8"/>
      <c r="L19" s="39"/>
      <c r="M19" s="4"/>
      <c r="N19" s="13"/>
      <c r="O19" s="6"/>
      <c r="P19" s="6"/>
      <c r="Q19" s="15"/>
      <c r="R19" s="6">
        <v>2</v>
      </c>
      <c r="S19" s="22"/>
      <c r="T19" s="13"/>
      <c r="U19" s="4"/>
      <c r="V19" s="6"/>
      <c r="W19" s="11"/>
      <c r="X19" s="6"/>
      <c r="Y19" s="7"/>
      <c r="Z19" s="12"/>
      <c r="AA19" s="6"/>
      <c r="AB19" s="4"/>
      <c r="AC19" s="4"/>
      <c r="AD19" s="4"/>
    </row>
    <row r="20" spans="4:30">
      <c r="D20" s="10"/>
      <c r="E20" s="53" t="s">
        <v>77</v>
      </c>
      <c r="F20" s="54"/>
      <c r="G20" s="12"/>
      <c r="H20" s="6"/>
      <c r="I20" s="22"/>
      <c r="J20" s="5"/>
      <c r="K20" s="18"/>
      <c r="L20" s="40"/>
      <c r="M20" s="4"/>
      <c r="N20" s="13"/>
      <c r="O20" s="6"/>
      <c r="P20" s="6"/>
      <c r="Q20" s="15"/>
      <c r="R20" s="6">
        <v>1.65</v>
      </c>
      <c r="S20" s="22"/>
      <c r="T20" s="13"/>
      <c r="U20" s="4"/>
      <c r="V20" s="6"/>
      <c r="W20" s="11"/>
      <c r="X20" s="6"/>
      <c r="Y20" s="7"/>
      <c r="Z20" s="12"/>
      <c r="AA20" s="6"/>
      <c r="AB20" s="4"/>
      <c r="AC20" s="4"/>
      <c r="AD20" s="4"/>
    </row>
    <row r="21" spans="4:30">
      <c r="D21" s="10"/>
      <c r="E21" s="53"/>
      <c r="F21" s="12"/>
      <c r="G21" s="75"/>
      <c r="H21" s="5"/>
      <c r="I21" s="37"/>
      <c r="J21" s="17"/>
      <c r="K21" s="16"/>
      <c r="L21" s="35"/>
      <c r="M21" s="4"/>
      <c r="N21" s="13"/>
      <c r="O21" s="6"/>
      <c r="P21" s="6"/>
      <c r="Q21" s="15"/>
      <c r="R21" s="6">
        <v>3.09</v>
      </c>
      <c r="S21" s="22"/>
      <c r="T21" s="13"/>
      <c r="U21" s="4"/>
      <c r="V21" s="6"/>
      <c r="W21" s="11"/>
      <c r="X21" s="16"/>
      <c r="Y21" s="28"/>
      <c r="Z21" s="19"/>
      <c r="AA21" s="16"/>
      <c r="AB21" s="4"/>
      <c r="AC21" s="4"/>
      <c r="AD21" s="4"/>
    </row>
    <row r="22" spans="4:30">
      <c r="D22" s="10"/>
      <c r="E22" s="56"/>
      <c r="F22" s="57"/>
      <c r="G22" s="76"/>
      <c r="H22" s="17"/>
      <c r="I22" s="38"/>
      <c r="J22" s="17"/>
      <c r="K22" s="16"/>
      <c r="L22" s="35"/>
      <c r="M22" s="4"/>
      <c r="N22" s="13"/>
      <c r="O22" s="6"/>
      <c r="P22" s="6"/>
      <c r="Q22" s="15"/>
      <c r="R22" s="6">
        <v>3</v>
      </c>
      <c r="S22" s="22"/>
      <c r="T22" s="13"/>
      <c r="U22" s="4"/>
      <c r="V22" s="6"/>
      <c r="W22" s="11"/>
      <c r="X22" s="6"/>
      <c r="Y22" s="7"/>
      <c r="Z22" s="12"/>
      <c r="AA22" s="6"/>
      <c r="AB22" s="4"/>
      <c r="AC22" s="4"/>
      <c r="AD22" s="4"/>
    </row>
    <row r="23" spans="4:30">
      <c r="D23" s="10"/>
      <c r="E23" s="58"/>
      <c r="F23" s="12"/>
      <c r="G23" s="76"/>
      <c r="H23" s="17"/>
      <c r="I23" s="38"/>
      <c r="J23" s="17"/>
      <c r="K23" s="16"/>
      <c r="L23" s="35"/>
      <c r="M23" s="4"/>
      <c r="N23" s="13"/>
      <c r="O23" s="6"/>
      <c r="P23" s="6"/>
      <c r="Q23" s="15" t="s">
        <v>211</v>
      </c>
      <c r="R23" s="6">
        <v>130</v>
      </c>
      <c r="S23" s="22"/>
      <c r="T23" s="13"/>
      <c r="U23" s="4"/>
      <c r="V23" s="6"/>
      <c r="W23" s="11"/>
      <c r="X23" s="6"/>
      <c r="Y23" s="7"/>
      <c r="Z23" s="12"/>
      <c r="AA23" s="6"/>
      <c r="AB23" s="4"/>
      <c r="AC23" s="4"/>
      <c r="AD23" s="4"/>
    </row>
    <row r="24" spans="4:30">
      <c r="D24" s="10"/>
      <c r="E24" s="58"/>
      <c r="F24" s="59"/>
      <c r="G24" s="76"/>
      <c r="H24" s="17"/>
      <c r="I24" s="38"/>
      <c r="J24" s="17"/>
      <c r="K24" s="16"/>
      <c r="L24" s="35"/>
      <c r="M24" s="4"/>
      <c r="N24" s="13"/>
      <c r="O24" s="6"/>
      <c r="P24" s="6"/>
      <c r="Q24" s="15"/>
      <c r="R24" s="6"/>
      <c r="S24" s="22"/>
      <c r="T24" s="13"/>
      <c r="U24" s="4"/>
      <c r="V24" s="6"/>
      <c r="W24" s="11"/>
      <c r="X24" s="6"/>
      <c r="Y24" s="7"/>
      <c r="Z24" s="12"/>
      <c r="AA24" s="6"/>
      <c r="AB24" s="4"/>
      <c r="AC24" s="4"/>
      <c r="AD24" s="4"/>
    </row>
    <row r="25" spans="4:30">
      <c r="D25" s="10"/>
      <c r="E25" s="60"/>
      <c r="F25" s="61"/>
      <c r="G25" s="76"/>
      <c r="H25" s="17"/>
      <c r="I25" s="38"/>
      <c r="J25" s="4"/>
      <c r="K25" s="14"/>
      <c r="L25" s="41"/>
      <c r="M25" s="4"/>
      <c r="N25" s="13"/>
      <c r="O25" s="6"/>
      <c r="P25" s="6"/>
      <c r="Q25" s="15"/>
      <c r="R25" s="6"/>
      <c r="S25" s="22"/>
      <c r="T25" s="13"/>
      <c r="U25" s="4"/>
      <c r="V25" s="6"/>
      <c r="W25" s="11"/>
      <c r="X25" s="6"/>
      <c r="Y25" s="7"/>
      <c r="Z25" s="12"/>
      <c r="AA25" s="6"/>
      <c r="AB25" s="4"/>
      <c r="AC25" s="4"/>
      <c r="AD25" s="4"/>
    </row>
    <row r="26" spans="4:30">
      <c r="D26" s="10"/>
      <c r="E26" s="67" t="s">
        <v>20</v>
      </c>
      <c r="F26" s="68">
        <f>SUM(F20:F25)</f>
        <v>0</v>
      </c>
      <c r="G26" s="76"/>
      <c r="H26" s="17"/>
      <c r="I26" s="38"/>
      <c r="J26" s="4"/>
      <c r="K26" s="14"/>
      <c r="L26" s="41"/>
      <c r="M26" s="4"/>
      <c r="N26" s="13"/>
      <c r="O26" s="6"/>
      <c r="P26" s="6"/>
      <c r="Q26" s="15"/>
      <c r="R26" s="6"/>
      <c r="S26" s="22"/>
      <c r="T26" s="13"/>
      <c r="U26" s="4"/>
      <c r="V26" s="6"/>
      <c r="W26" s="11"/>
      <c r="X26" s="6"/>
      <c r="Y26" s="7"/>
      <c r="Z26" s="12"/>
      <c r="AA26" s="6"/>
      <c r="AB26" s="4"/>
      <c r="AC26" s="4"/>
      <c r="AD26" s="4"/>
    </row>
    <row r="27" spans="4:30">
      <c r="D27" s="10"/>
      <c r="E27" s="69"/>
      <c r="F27" s="69"/>
      <c r="G27" s="76"/>
      <c r="H27" s="17"/>
      <c r="I27" s="38"/>
      <c r="J27" s="97" t="s">
        <v>20</v>
      </c>
      <c r="K27" s="20">
        <f>SUM(K10:K26)</f>
        <v>900</v>
      </c>
      <c r="L27" s="41"/>
      <c r="M27" s="4"/>
      <c r="N27" s="13"/>
      <c r="O27" s="6"/>
      <c r="P27" s="6"/>
      <c r="Q27" s="15"/>
      <c r="R27" s="6"/>
      <c r="S27" s="22"/>
      <c r="T27" s="13"/>
      <c r="U27" s="4"/>
      <c r="V27" s="6"/>
      <c r="W27" s="11"/>
      <c r="X27" s="6"/>
      <c r="Y27" s="7"/>
      <c r="Z27" s="12"/>
      <c r="AA27" s="6"/>
      <c r="AB27" s="4"/>
      <c r="AC27" s="4"/>
      <c r="AD27" s="4"/>
    </row>
    <row r="28" spans="4:30">
      <c r="D28" s="10"/>
      <c r="E28" s="199" t="s">
        <v>78</v>
      </c>
      <c r="F28" s="200"/>
      <c r="G28" s="55"/>
      <c r="H28" s="4"/>
      <c r="I28" s="21"/>
      <c r="J28" s="4" t="s">
        <v>79</v>
      </c>
      <c r="K28" s="8">
        <v>0</v>
      </c>
      <c r="L28" s="41"/>
      <c r="M28" s="4"/>
      <c r="N28" s="13"/>
      <c r="O28" s="6"/>
      <c r="P28" s="6"/>
      <c r="Q28" s="15"/>
      <c r="R28" s="6"/>
      <c r="S28" s="22"/>
      <c r="T28" s="13"/>
      <c r="U28" s="4"/>
      <c r="V28" s="6"/>
      <c r="W28" s="11" t="s">
        <v>122</v>
      </c>
      <c r="X28" s="6"/>
      <c r="Y28" s="7"/>
      <c r="Z28" s="12"/>
      <c r="AA28" s="6"/>
      <c r="AB28" s="4"/>
      <c r="AC28" s="6"/>
      <c r="AD28" s="4"/>
    </row>
    <row r="29" spans="4:30">
      <c r="D29" s="10"/>
      <c r="E29" s="53" t="s">
        <v>67</v>
      </c>
      <c r="F29" s="54"/>
      <c r="G29" s="55"/>
      <c r="H29" s="4"/>
      <c r="I29" s="21"/>
      <c r="J29" s="4" t="s">
        <v>80</v>
      </c>
      <c r="K29" s="8"/>
      <c r="L29" s="39"/>
      <c r="M29" s="4"/>
      <c r="N29" s="13"/>
      <c r="O29" s="6"/>
      <c r="P29" s="6"/>
      <c r="Q29" s="15"/>
      <c r="R29" s="6"/>
      <c r="S29" s="22"/>
      <c r="T29" s="13"/>
      <c r="U29" s="4"/>
      <c r="V29" s="6"/>
      <c r="W29" s="11"/>
      <c r="X29" s="6"/>
      <c r="Y29" s="7"/>
      <c r="Z29" s="12"/>
      <c r="AA29" s="6"/>
      <c r="AB29" s="4"/>
      <c r="AC29" s="4"/>
      <c r="AD29" s="4"/>
    </row>
    <row r="30" spans="4:30">
      <c r="D30" s="10"/>
      <c r="E30" s="53" t="s">
        <v>70</v>
      </c>
      <c r="F30" s="12"/>
      <c r="G30" s="55"/>
      <c r="H30" s="4"/>
      <c r="I30" s="21"/>
      <c r="J30" s="124" t="s">
        <v>11</v>
      </c>
      <c r="K30" s="125">
        <f>Y33</f>
        <v>0</v>
      </c>
      <c r="L30" s="39"/>
      <c r="M30" s="4"/>
      <c r="N30" s="13"/>
      <c r="O30" s="6"/>
      <c r="P30" s="6"/>
      <c r="Q30" s="15"/>
      <c r="R30" s="6"/>
      <c r="S30" s="22"/>
      <c r="T30" s="13"/>
      <c r="U30" s="4"/>
      <c r="V30" s="6"/>
      <c r="W30" s="11"/>
      <c r="X30" s="6"/>
      <c r="Y30" s="7"/>
      <c r="Z30" s="12"/>
      <c r="AA30" s="6"/>
      <c r="AB30" s="4"/>
      <c r="AC30" s="4"/>
      <c r="AD30" s="4"/>
    </row>
    <row r="31" spans="4:30">
      <c r="D31" s="10"/>
      <c r="E31" s="56"/>
      <c r="F31" s="57"/>
      <c r="G31" s="55"/>
      <c r="H31" s="4"/>
      <c r="I31" s="21"/>
      <c r="J31" s="4" t="s">
        <v>81</v>
      </c>
      <c r="K31" s="8">
        <v>0</v>
      </c>
      <c r="L31" s="39"/>
      <c r="M31" s="4"/>
      <c r="N31" s="13"/>
      <c r="O31" s="6"/>
      <c r="P31" s="6"/>
      <c r="Q31" s="15"/>
      <c r="R31" s="6"/>
      <c r="S31" s="22"/>
      <c r="T31" s="13"/>
      <c r="U31" s="4"/>
      <c r="V31" s="6"/>
      <c r="W31" s="11"/>
      <c r="X31" s="6"/>
      <c r="Y31" s="7"/>
      <c r="Z31" s="12"/>
      <c r="AA31" s="6"/>
      <c r="AB31" s="4"/>
    </row>
    <row r="32" spans="4:30">
      <c r="D32" s="10"/>
      <c r="E32" s="58"/>
      <c r="F32" s="12"/>
      <c r="G32" s="55"/>
      <c r="H32" s="4"/>
      <c r="I32" s="21"/>
      <c r="J32" s="4" t="s">
        <v>82</v>
      </c>
      <c r="K32" s="8">
        <v>0</v>
      </c>
      <c r="L32" s="39"/>
      <c r="M32" s="4"/>
      <c r="N32" s="13"/>
      <c r="O32" s="6"/>
      <c r="P32" s="6"/>
      <c r="Q32" s="15"/>
      <c r="R32" s="6"/>
      <c r="S32" s="22"/>
      <c r="T32" s="13"/>
      <c r="U32" s="4"/>
      <c r="V32" s="6"/>
      <c r="W32" s="11"/>
      <c r="X32" s="6"/>
      <c r="Y32" s="7"/>
      <c r="Z32" s="12"/>
      <c r="AA32" s="6"/>
      <c r="AB32" s="4"/>
    </row>
    <row r="33" spans="4:28">
      <c r="D33" s="10"/>
      <c r="E33" s="58"/>
      <c r="F33" s="59"/>
      <c r="G33" s="55"/>
      <c r="H33" s="4"/>
      <c r="I33" s="208" t="s">
        <v>83</v>
      </c>
      <c r="J33" s="209"/>
      <c r="K33" s="81">
        <f>K27-K28-K29-K30-K31-K32</f>
        <v>900</v>
      </c>
      <c r="L33" s="210">
        <f>SUM(N10:N32)</f>
        <v>617.12</v>
      </c>
      <c r="M33" s="211"/>
      <c r="N33" s="212"/>
      <c r="O33" s="213">
        <f>SUM(P10:P32)</f>
        <v>0</v>
      </c>
      <c r="P33" s="214"/>
      <c r="Q33" s="201">
        <f>SUM(R10:R32)</f>
        <v>220.75</v>
      </c>
      <c r="R33" s="202"/>
      <c r="S33" s="203">
        <f>SUM(T10:T32)</f>
        <v>117.73</v>
      </c>
      <c r="T33" s="204"/>
      <c r="U33" s="205">
        <f>SUM(V10:V32)</f>
        <v>46</v>
      </c>
      <c r="V33" s="206"/>
      <c r="W33" s="205">
        <f>SUM(X10:X32)</f>
        <v>17.8</v>
      </c>
      <c r="X33" s="207"/>
      <c r="Y33" s="189">
        <f>SUM(Z10:Z32)</f>
        <v>0</v>
      </c>
      <c r="Z33" s="190"/>
      <c r="AA33" s="6"/>
      <c r="AB33" s="4"/>
    </row>
    <row r="34" spans="4:28">
      <c r="D34" s="10"/>
      <c r="E34" s="60"/>
      <c r="F34" s="61"/>
      <c r="G34" s="55"/>
      <c r="H34" s="4"/>
      <c r="I34" s="184" t="s">
        <v>31</v>
      </c>
      <c r="J34" s="185"/>
      <c r="K34" s="43">
        <f>K33-L35</f>
        <v>-119.40000000000009</v>
      </c>
      <c r="L34" s="186">
        <f>SUM(L33:R33)</f>
        <v>837.87</v>
      </c>
      <c r="M34" s="187"/>
      <c r="N34" s="187"/>
      <c r="O34" s="187"/>
      <c r="P34" s="187"/>
      <c r="Q34" s="187"/>
      <c r="R34" s="188"/>
      <c r="S34" s="193">
        <f>S33+U33+W33</f>
        <v>181.53000000000003</v>
      </c>
      <c r="T34" s="194"/>
      <c r="U34" s="194"/>
      <c r="V34" s="194"/>
      <c r="W34" s="194"/>
      <c r="X34" s="195"/>
      <c r="Y34" s="189"/>
      <c r="Z34" s="190"/>
      <c r="AA34" s="6"/>
      <c r="AB34" s="4"/>
    </row>
    <row r="35" spans="4:28" ht="18.75">
      <c r="D35" s="10"/>
      <c r="E35" s="67" t="s">
        <v>20</v>
      </c>
      <c r="F35" s="68">
        <f>SUM(F29:F34)</f>
        <v>0</v>
      </c>
      <c r="G35" s="55"/>
      <c r="H35" s="4"/>
      <c r="I35" s="4"/>
      <c r="J35" s="6"/>
      <c r="K35" s="8"/>
      <c r="L35" s="196">
        <f>L34+S34</f>
        <v>1019.4000000000001</v>
      </c>
      <c r="M35" s="197"/>
      <c r="N35" s="197"/>
      <c r="O35" s="197"/>
      <c r="P35" s="197"/>
      <c r="Q35" s="197"/>
      <c r="R35" s="197"/>
      <c r="S35" s="197"/>
      <c r="T35" s="197"/>
      <c r="U35" s="197"/>
      <c r="V35" s="197"/>
      <c r="W35" s="197"/>
      <c r="X35" s="198"/>
      <c r="Y35" s="191"/>
      <c r="Z35" s="192"/>
      <c r="AA35" s="6"/>
      <c r="AB35" s="4"/>
    </row>
    <row r="36" spans="4:28">
      <c r="D36" s="10"/>
      <c r="E36" s="70"/>
      <c r="F36" s="70"/>
      <c r="G36" s="5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4:28">
      <c r="D37" s="1"/>
      <c r="E37" s="180" t="s">
        <v>84</v>
      </c>
      <c r="F37" s="181"/>
      <c r="G37" s="2"/>
    </row>
    <row r="38" spans="4:28">
      <c r="D38" s="1"/>
      <c r="E38" s="182" t="s">
        <v>85</v>
      </c>
      <c r="F38" s="183"/>
      <c r="G38" s="2"/>
    </row>
    <row r="39" spans="4:28">
      <c r="D39" s="1"/>
      <c r="E39" s="60" t="s">
        <v>67</v>
      </c>
      <c r="F39" s="62">
        <v>500</v>
      </c>
      <c r="G39" s="2"/>
      <c r="N39" s="130"/>
    </row>
    <row r="40" spans="4:28">
      <c r="D40" s="1"/>
      <c r="E40" s="60" t="s">
        <v>70</v>
      </c>
      <c r="F40" s="62">
        <f>K31</f>
        <v>0</v>
      </c>
      <c r="G40" s="2"/>
      <c r="N40" s="130"/>
      <c r="Q40" s="132"/>
    </row>
    <row r="41" spans="4:28">
      <c r="D41" s="1"/>
      <c r="E41" s="65" t="s">
        <v>20</v>
      </c>
      <c r="F41" s="66">
        <f>SUM(F39:F40)</f>
        <v>500</v>
      </c>
      <c r="G41" s="2"/>
      <c r="Q41" s="132"/>
    </row>
    <row r="42" spans="4:28">
      <c r="D42" s="1"/>
      <c r="E42" s="182" t="s">
        <v>86</v>
      </c>
      <c r="F42" s="183"/>
      <c r="G42" s="2"/>
      <c r="Q42" s="132"/>
    </row>
    <row r="43" spans="4:28">
      <c r="D43" s="1"/>
      <c r="E43" s="60" t="s">
        <v>67</v>
      </c>
      <c r="F43" s="62">
        <v>180</v>
      </c>
      <c r="G43" s="2"/>
      <c r="Q43" s="132"/>
    </row>
    <row r="44" spans="4:28">
      <c r="D44" s="1"/>
      <c r="E44" s="60" t="s">
        <v>70</v>
      </c>
      <c r="F44" s="62">
        <f>K32</f>
        <v>0</v>
      </c>
      <c r="G44" s="2"/>
      <c r="Q44" s="132"/>
    </row>
    <row r="45" spans="4:28">
      <c r="D45" s="1"/>
      <c r="E45" s="65" t="s">
        <v>20</v>
      </c>
      <c r="F45" s="66">
        <f>SUM(F43:F44)</f>
        <v>180</v>
      </c>
      <c r="G45" s="2"/>
    </row>
    <row r="46" spans="4:28">
      <c r="D46" s="1"/>
      <c r="E46" s="63" t="s">
        <v>20</v>
      </c>
      <c r="F46" s="64">
        <f>F45+F41</f>
        <v>680</v>
      </c>
      <c r="G46" s="2"/>
    </row>
    <row r="47" spans="4:28">
      <c r="D47" s="78"/>
      <c r="E47" s="79"/>
      <c r="F47" s="79"/>
      <c r="G47" s="80"/>
    </row>
  </sheetData>
  <mergeCells count="29">
    <mergeCell ref="E7:F7"/>
    <mergeCell ref="I7:Z7"/>
    <mergeCell ref="AC7:AD7"/>
    <mergeCell ref="I8:K8"/>
    <mergeCell ref="L8:N8"/>
    <mergeCell ref="O8:P8"/>
    <mergeCell ref="Q8:R8"/>
    <mergeCell ref="S8:T8"/>
    <mergeCell ref="U8:V8"/>
    <mergeCell ref="W8:X8"/>
    <mergeCell ref="Y8:Z8"/>
    <mergeCell ref="E14:F14"/>
    <mergeCell ref="E19:F19"/>
    <mergeCell ref="E28:F28"/>
    <mergeCell ref="I33:J33"/>
    <mergeCell ref="L33:N33"/>
    <mergeCell ref="E38:F38"/>
    <mergeCell ref="E42:F42"/>
    <mergeCell ref="W33:X33"/>
    <mergeCell ref="Y33:Z35"/>
    <mergeCell ref="I34:J34"/>
    <mergeCell ref="L34:R34"/>
    <mergeCell ref="S34:X34"/>
    <mergeCell ref="L35:X35"/>
    <mergeCell ref="O33:P33"/>
    <mergeCell ref="Q33:R33"/>
    <mergeCell ref="S33:T33"/>
    <mergeCell ref="U33:V33"/>
    <mergeCell ref="E37:F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50AF-DD22-4E4A-9131-81CA09FAC189}">
  <sheetPr>
    <tabColor theme="9" tint="-0.249977111117893"/>
  </sheetPr>
  <dimension ref="D5:AD46"/>
  <sheetViews>
    <sheetView topLeftCell="I4" workbookViewId="0">
      <selection activeCell="R16" sqref="R16"/>
    </sheetView>
  </sheetViews>
  <sheetFormatPr defaultRowHeight="15.75"/>
  <cols>
    <col min="5" max="5" width="21" customWidth="1"/>
    <col min="10" max="10" width="25.875" customWidth="1"/>
    <col min="11" max="11" width="10.125" bestFit="1" customWidth="1"/>
    <col min="13" max="13" width="25.375" customWidth="1"/>
    <col min="17" max="17" width="13.75" customWidth="1"/>
    <col min="19" max="19" width="13.125" customWidth="1"/>
    <col min="21" max="21" width="19.5" customWidth="1"/>
    <col min="23" max="23" width="19.875" customWidth="1"/>
    <col min="29" max="29" width="22.625" customWidth="1"/>
    <col min="30" max="30" width="73.875" customWidth="1"/>
  </cols>
  <sheetData>
    <row r="5" spans="4:30">
      <c r="D5" s="71"/>
      <c r="E5" s="72"/>
      <c r="F5" s="72"/>
      <c r="G5" s="7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4:30" ht="21">
      <c r="D6" s="10"/>
      <c r="E6" s="215" t="s">
        <v>0</v>
      </c>
      <c r="F6" s="216"/>
      <c r="G6" s="74"/>
      <c r="H6" s="3"/>
      <c r="I6" s="217" t="s">
        <v>212</v>
      </c>
      <c r="J6" s="218"/>
      <c r="K6" s="218"/>
      <c r="L6" s="218"/>
      <c r="M6" s="218"/>
      <c r="N6" s="218"/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9"/>
      <c r="AA6" s="33"/>
      <c r="AB6" s="4"/>
      <c r="AC6" s="220" t="s">
        <v>2</v>
      </c>
      <c r="AD6" s="221"/>
    </row>
    <row r="7" spans="4:30">
      <c r="D7" s="10"/>
      <c r="E7" s="45" t="s">
        <v>3</v>
      </c>
      <c r="F7" s="46">
        <f>L33</f>
        <v>809.13</v>
      </c>
      <c r="G7" s="75"/>
      <c r="H7" s="5"/>
      <c r="I7" s="222" t="s">
        <v>4</v>
      </c>
      <c r="J7" s="223"/>
      <c r="K7" s="224"/>
      <c r="L7" s="225" t="s">
        <v>5</v>
      </c>
      <c r="M7" s="226"/>
      <c r="N7" s="227"/>
      <c r="O7" s="228" t="s">
        <v>6</v>
      </c>
      <c r="P7" s="229"/>
      <c r="Q7" s="230" t="s">
        <v>7</v>
      </c>
      <c r="R7" s="231"/>
      <c r="S7" s="232" t="s">
        <v>8</v>
      </c>
      <c r="T7" s="233"/>
      <c r="U7" s="234" t="s">
        <v>9</v>
      </c>
      <c r="V7" s="235"/>
      <c r="W7" s="236" t="s">
        <v>10</v>
      </c>
      <c r="X7" s="235"/>
      <c r="Y7" s="237" t="s">
        <v>11</v>
      </c>
      <c r="Z7" s="238"/>
      <c r="AA7" s="5"/>
      <c r="AB7" s="4"/>
      <c r="AC7" s="82" t="s">
        <v>5</v>
      </c>
      <c r="AD7" s="83" t="s">
        <v>12</v>
      </c>
    </row>
    <row r="8" spans="4:30">
      <c r="D8" s="10"/>
      <c r="E8" s="47" t="s">
        <v>13</v>
      </c>
      <c r="F8" s="48">
        <f>S33</f>
        <v>108.58000000000001</v>
      </c>
      <c r="G8" s="12"/>
      <c r="H8" s="6"/>
      <c r="I8" s="89" t="s">
        <v>14</v>
      </c>
      <c r="J8" s="36" t="s">
        <v>15</v>
      </c>
      <c r="K8" s="36" t="s">
        <v>16</v>
      </c>
      <c r="L8" s="86" t="s">
        <v>14</v>
      </c>
      <c r="M8" s="34" t="s">
        <v>17</v>
      </c>
      <c r="N8" s="87" t="s">
        <v>16</v>
      </c>
      <c r="O8" s="34" t="s">
        <v>17</v>
      </c>
      <c r="P8" s="34" t="s">
        <v>16</v>
      </c>
      <c r="Q8" s="9" t="s">
        <v>17</v>
      </c>
      <c r="R8" s="34" t="s">
        <v>16</v>
      </c>
      <c r="S8" s="88" t="s">
        <v>17</v>
      </c>
      <c r="T8" s="87" t="s">
        <v>16</v>
      </c>
      <c r="U8" s="34" t="s">
        <v>17</v>
      </c>
      <c r="V8" s="34" t="s">
        <v>16</v>
      </c>
      <c r="W8" s="9" t="s">
        <v>17</v>
      </c>
      <c r="X8" s="34" t="s">
        <v>16</v>
      </c>
      <c r="Y8" s="111" t="s">
        <v>17</v>
      </c>
      <c r="Z8" s="112" t="s">
        <v>16</v>
      </c>
      <c r="AA8" s="34"/>
      <c r="AB8" s="4"/>
      <c r="AC8" s="82" t="s">
        <v>18</v>
      </c>
      <c r="AD8" s="83" t="s">
        <v>19</v>
      </c>
    </row>
    <row r="9" spans="4:30">
      <c r="D9" s="10"/>
      <c r="E9" s="49" t="s">
        <v>20</v>
      </c>
      <c r="F9" s="50">
        <f>F8+F7</f>
        <v>917.71</v>
      </c>
      <c r="G9" s="12"/>
      <c r="H9" s="6"/>
      <c r="I9" s="22"/>
      <c r="J9" s="6" t="s">
        <v>21</v>
      </c>
      <c r="K9" s="8">
        <v>10.59</v>
      </c>
      <c r="L9" s="39" t="s">
        <v>213</v>
      </c>
      <c r="M9" s="4" t="s">
        <v>23</v>
      </c>
      <c r="N9" s="13">
        <v>500</v>
      </c>
      <c r="O9" s="4"/>
      <c r="P9" s="13"/>
      <c r="Q9" s="15"/>
      <c r="R9" s="6">
        <v>26.64</v>
      </c>
      <c r="S9" s="22" t="s">
        <v>209</v>
      </c>
      <c r="T9" s="13">
        <v>25</v>
      </c>
      <c r="U9" s="4" t="s">
        <v>164</v>
      </c>
      <c r="V9" s="6">
        <v>39</v>
      </c>
      <c r="W9" s="11" t="s">
        <v>214</v>
      </c>
      <c r="X9" s="6">
        <v>10</v>
      </c>
      <c r="Y9" s="7" t="s">
        <v>29</v>
      </c>
      <c r="Z9" s="12"/>
      <c r="AA9" s="6"/>
      <c r="AB9" s="4"/>
      <c r="AC9" s="82" t="s">
        <v>7</v>
      </c>
      <c r="AD9" s="83" t="s">
        <v>30</v>
      </c>
    </row>
    <row r="10" spans="4:30">
      <c r="D10" s="10"/>
      <c r="E10" s="51" t="s">
        <v>31</v>
      </c>
      <c r="F10" s="52">
        <f>K33</f>
        <v>57.419999999999959</v>
      </c>
      <c r="G10" s="12"/>
      <c r="H10" s="6"/>
      <c r="I10" s="22"/>
      <c r="J10" s="6" t="s">
        <v>215</v>
      </c>
      <c r="K10" s="8">
        <v>680</v>
      </c>
      <c r="L10" s="39"/>
      <c r="M10" s="4" t="s">
        <v>216</v>
      </c>
      <c r="N10" s="13">
        <v>50</v>
      </c>
      <c r="O10" s="4"/>
      <c r="P10" s="6"/>
      <c r="Q10" s="15"/>
      <c r="R10" s="6">
        <v>8.5</v>
      </c>
      <c r="S10" s="22"/>
      <c r="T10" s="13"/>
      <c r="U10" s="4" t="s">
        <v>217</v>
      </c>
      <c r="V10" s="6">
        <v>20.48</v>
      </c>
      <c r="W10" s="11" t="s">
        <v>218</v>
      </c>
      <c r="X10" s="6">
        <v>0.9</v>
      </c>
      <c r="Y10" s="7" t="s">
        <v>40</v>
      </c>
      <c r="Z10" s="12"/>
      <c r="AA10" s="6"/>
      <c r="AB10" s="4"/>
      <c r="AC10" s="84" t="s">
        <v>8</v>
      </c>
      <c r="AD10" s="85" t="s">
        <v>41</v>
      </c>
    </row>
    <row r="11" spans="4:30">
      <c r="D11" s="10"/>
      <c r="E11" s="4"/>
      <c r="F11" s="17"/>
      <c r="G11" s="12"/>
      <c r="H11" s="6"/>
      <c r="I11" s="22" t="s">
        <v>219</v>
      </c>
      <c r="J11" s="6" t="s">
        <v>220</v>
      </c>
      <c r="K11" s="8">
        <v>150</v>
      </c>
      <c r="L11" s="39"/>
      <c r="M11" s="4" t="s">
        <v>221</v>
      </c>
      <c r="N11" s="13">
        <v>35</v>
      </c>
      <c r="O11" s="6"/>
      <c r="P11" s="6"/>
      <c r="Q11" s="15"/>
      <c r="R11" s="6">
        <v>2.5</v>
      </c>
      <c r="S11" s="22"/>
      <c r="T11" s="13"/>
      <c r="U11" s="4" t="s">
        <v>222</v>
      </c>
      <c r="V11" s="6">
        <v>13.2</v>
      </c>
      <c r="W11" s="11"/>
      <c r="X11" s="6"/>
      <c r="Y11" s="7"/>
      <c r="Z11" s="12"/>
      <c r="AA11" s="6"/>
      <c r="AB11" s="4"/>
      <c r="AC11" s="84" t="s">
        <v>49</v>
      </c>
      <c r="AD11" s="85" t="s">
        <v>50</v>
      </c>
    </row>
    <row r="12" spans="4:30">
      <c r="D12" s="10"/>
      <c r="E12" s="4"/>
      <c r="F12" s="6"/>
      <c r="G12" s="12"/>
      <c r="H12" s="6"/>
      <c r="I12" s="21"/>
      <c r="J12" s="6" t="s">
        <v>223</v>
      </c>
      <c r="K12" s="8">
        <v>-130</v>
      </c>
      <c r="L12" s="39"/>
      <c r="M12" s="4"/>
      <c r="N12" s="13"/>
      <c r="O12" s="6"/>
      <c r="P12" s="6"/>
      <c r="Q12" s="15"/>
      <c r="R12" s="23">
        <v>45</v>
      </c>
      <c r="S12" s="6"/>
      <c r="T12" s="13"/>
      <c r="U12" s="4"/>
      <c r="V12" s="6"/>
      <c r="W12" s="11"/>
      <c r="X12" s="6"/>
      <c r="Y12" s="7"/>
      <c r="Z12" s="12"/>
      <c r="AA12" s="6"/>
      <c r="AB12" s="4"/>
      <c r="AC12" s="84" t="s">
        <v>10</v>
      </c>
      <c r="AD12" s="85" t="s">
        <v>57</v>
      </c>
    </row>
    <row r="13" spans="4:30">
      <c r="D13" s="10"/>
      <c r="E13" s="199" t="s">
        <v>58</v>
      </c>
      <c r="F13" s="200"/>
      <c r="G13" s="12"/>
      <c r="H13" s="6"/>
      <c r="I13" s="22" t="s">
        <v>224</v>
      </c>
      <c r="J13" s="6" t="s">
        <v>220</v>
      </c>
      <c r="K13" s="8">
        <v>162</v>
      </c>
      <c r="L13" s="39"/>
      <c r="M13" s="4"/>
      <c r="N13" s="13"/>
      <c r="O13" s="6"/>
      <c r="P13" s="6"/>
      <c r="Q13" s="15"/>
      <c r="R13" s="23">
        <v>9.61</v>
      </c>
      <c r="S13" s="6"/>
      <c r="T13" s="13"/>
      <c r="U13" s="4"/>
      <c r="V13" s="6"/>
      <c r="W13" s="11"/>
      <c r="X13" s="6"/>
      <c r="Y13" s="7"/>
      <c r="Z13" s="12"/>
      <c r="AA13" s="6"/>
      <c r="AB13" s="4"/>
      <c r="AC13" s="122" t="s">
        <v>65</v>
      </c>
      <c r="AD13" s="123" t="s">
        <v>66</v>
      </c>
    </row>
    <row r="14" spans="4:30">
      <c r="D14" s="10"/>
      <c r="E14" s="53" t="s">
        <v>67</v>
      </c>
      <c r="F14" s="54">
        <v>0</v>
      </c>
      <c r="G14" s="75"/>
      <c r="H14" s="5"/>
      <c r="I14" s="44" t="s">
        <v>225</v>
      </c>
      <c r="J14" s="6" t="s">
        <v>220</v>
      </c>
      <c r="K14" s="8">
        <v>107.54</v>
      </c>
      <c r="L14" s="39"/>
      <c r="M14" s="4"/>
      <c r="N14" s="13"/>
      <c r="O14" s="6"/>
      <c r="P14" s="6"/>
      <c r="Q14" s="15"/>
      <c r="R14" s="6">
        <v>29.7</v>
      </c>
      <c r="S14" s="22"/>
      <c r="T14" s="13"/>
      <c r="U14" s="4"/>
      <c r="V14" s="6"/>
      <c r="W14" s="11"/>
      <c r="X14" s="6"/>
      <c r="Y14" s="7"/>
      <c r="Z14" s="12"/>
      <c r="AA14" s="6"/>
      <c r="AB14" s="4"/>
    </row>
    <row r="15" spans="4:30">
      <c r="D15" s="10"/>
      <c r="E15" s="53" t="s">
        <v>70</v>
      </c>
      <c r="F15" s="12">
        <v>0</v>
      </c>
      <c r="G15" s="76"/>
      <c r="H15" s="17"/>
      <c r="I15" s="38"/>
      <c r="J15" s="6"/>
      <c r="K15" s="16"/>
      <c r="L15" s="35"/>
      <c r="M15" s="4"/>
      <c r="N15" s="13"/>
      <c r="O15" s="6"/>
      <c r="P15" s="6"/>
      <c r="Q15" s="15"/>
      <c r="R15" s="6">
        <v>5.2</v>
      </c>
      <c r="S15" s="22"/>
      <c r="T15" s="13"/>
      <c r="U15" s="4"/>
      <c r="V15" s="6"/>
      <c r="W15" s="11"/>
      <c r="X15" s="6"/>
      <c r="Y15" s="7"/>
      <c r="Z15" s="12"/>
      <c r="AA15" s="6"/>
      <c r="AB15" s="4"/>
      <c r="AC15" s="4"/>
      <c r="AD15" s="4"/>
    </row>
    <row r="16" spans="4:30">
      <c r="D16" s="10"/>
      <c r="E16" s="67" t="s">
        <v>20</v>
      </c>
      <c r="F16" s="68">
        <f>SUM(F14:F15)</f>
        <v>0</v>
      </c>
      <c r="G16" s="77"/>
      <c r="H16" s="17"/>
      <c r="I16" s="38"/>
      <c r="J16" s="17"/>
      <c r="K16" s="16"/>
      <c r="L16" s="35"/>
      <c r="M16" s="4"/>
      <c r="N16" s="13"/>
      <c r="O16" s="6"/>
      <c r="P16" s="6"/>
      <c r="Q16" s="15" t="s">
        <v>226</v>
      </c>
      <c r="R16" s="6">
        <v>45</v>
      </c>
      <c r="S16" s="22"/>
      <c r="T16" s="13"/>
      <c r="U16" s="4"/>
      <c r="V16" s="6"/>
      <c r="W16" s="11"/>
      <c r="X16" s="6"/>
      <c r="Y16" s="7"/>
      <c r="Z16" s="12"/>
      <c r="AA16" s="6"/>
      <c r="AB16" s="4"/>
      <c r="AC16" s="4"/>
      <c r="AD16" s="4"/>
    </row>
    <row r="17" spans="4:30">
      <c r="D17" s="10"/>
      <c r="E17" s="69"/>
      <c r="F17" s="69"/>
      <c r="G17" s="76"/>
      <c r="H17" s="17"/>
      <c r="I17" s="38"/>
      <c r="J17" s="17"/>
      <c r="K17" s="16"/>
      <c r="L17" s="35"/>
      <c r="M17" s="4"/>
      <c r="N17" s="13"/>
      <c r="O17" s="6"/>
      <c r="P17" s="6"/>
      <c r="Q17" s="15"/>
      <c r="R17" s="6">
        <v>45</v>
      </c>
      <c r="S17" s="22"/>
      <c r="T17" s="13"/>
      <c r="U17" s="4"/>
      <c r="V17" s="6"/>
      <c r="W17" s="11"/>
      <c r="X17" s="6"/>
      <c r="Y17" s="7"/>
      <c r="Z17" s="12"/>
      <c r="AA17" s="6"/>
      <c r="AB17" s="4"/>
      <c r="AC17" s="4"/>
      <c r="AD17" s="4"/>
    </row>
    <row r="18" spans="4:30">
      <c r="D18" s="10"/>
      <c r="E18" s="199" t="s">
        <v>40</v>
      </c>
      <c r="F18" s="200"/>
      <c r="G18" s="76"/>
      <c r="H18" s="17"/>
      <c r="I18" s="38"/>
      <c r="J18" s="6"/>
      <c r="K18" s="8"/>
      <c r="L18" s="39"/>
      <c r="M18" s="4"/>
      <c r="N18" s="13"/>
      <c r="O18" s="6"/>
      <c r="P18" s="6"/>
      <c r="Q18" s="15"/>
      <c r="R18" s="6">
        <v>6.98</v>
      </c>
      <c r="S18" s="22"/>
      <c r="T18" s="13"/>
      <c r="U18" s="4"/>
      <c r="V18" s="6"/>
      <c r="W18" s="11"/>
      <c r="X18" s="6"/>
      <c r="Y18" s="7"/>
      <c r="Z18" s="12"/>
      <c r="AA18" s="6"/>
      <c r="AB18" s="4"/>
      <c r="AC18" s="4"/>
      <c r="AD18" s="4"/>
    </row>
    <row r="19" spans="4:30">
      <c r="D19" s="10"/>
      <c r="E19" s="53" t="s">
        <v>77</v>
      </c>
      <c r="F19" s="54"/>
      <c r="G19" s="12"/>
      <c r="H19" s="6"/>
      <c r="I19" s="22"/>
      <c r="J19" s="5"/>
      <c r="K19" s="18"/>
      <c r="L19" s="40"/>
      <c r="M19" s="4"/>
      <c r="N19" s="13"/>
      <c r="O19" s="6"/>
      <c r="P19" s="6"/>
      <c r="Q19" s="15"/>
      <c r="R19" s="6"/>
      <c r="S19" s="22"/>
      <c r="T19" s="13"/>
      <c r="U19" s="4"/>
      <c r="V19" s="6"/>
      <c r="W19" s="11"/>
      <c r="X19" s="6"/>
      <c r="Y19" s="7"/>
      <c r="Z19" s="12"/>
      <c r="AA19" s="6"/>
      <c r="AB19" s="4"/>
      <c r="AC19" s="4"/>
      <c r="AD19" s="4"/>
    </row>
    <row r="20" spans="4:30">
      <c r="D20" s="10"/>
      <c r="E20" s="53"/>
      <c r="F20" s="12"/>
      <c r="G20" s="75"/>
      <c r="H20" s="5"/>
      <c r="I20" s="37"/>
      <c r="J20" s="17"/>
      <c r="K20" s="16"/>
      <c r="L20" s="35"/>
      <c r="M20" s="4"/>
      <c r="N20" s="13"/>
      <c r="O20" s="6"/>
      <c r="P20" s="6"/>
      <c r="Q20" s="15"/>
      <c r="R20" s="6"/>
      <c r="S20" s="22"/>
      <c r="T20" s="13"/>
      <c r="U20" s="4"/>
      <c r="V20" s="6"/>
      <c r="W20" s="11"/>
      <c r="X20" s="16"/>
      <c r="Y20" s="28"/>
      <c r="Z20" s="19"/>
      <c r="AA20" s="16"/>
      <c r="AB20" s="4"/>
      <c r="AC20" s="4"/>
      <c r="AD20" s="4"/>
    </row>
    <row r="21" spans="4:30">
      <c r="D21" s="10"/>
      <c r="E21" s="56"/>
      <c r="F21" s="57"/>
      <c r="G21" s="76"/>
      <c r="H21" s="17"/>
      <c r="I21" s="38"/>
      <c r="J21" s="17"/>
      <c r="K21" s="16"/>
      <c r="L21" s="35"/>
      <c r="M21" s="4"/>
      <c r="N21" s="13"/>
      <c r="O21" s="6"/>
      <c r="P21" s="6"/>
      <c r="Q21" s="15"/>
      <c r="R21" s="6"/>
      <c r="S21" s="22"/>
      <c r="T21" s="13"/>
      <c r="U21" s="4"/>
      <c r="V21" s="6"/>
      <c r="W21" s="11"/>
      <c r="X21" s="6"/>
      <c r="Y21" s="7"/>
      <c r="Z21" s="12"/>
      <c r="AA21" s="6"/>
      <c r="AB21" s="4"/>
      <c r="AC21" s="4"/>
      <c r="AD21" s="4"/>
    </row>
    <row r="22" spans="4:30">
      <c r="D22" s="10"/>
      <c r="E22" s="58"/>
      <c r="F22" s="12"/>
      <c r="G22" s="76"/>
      <c r="H22" s="17"/>
      <c r="I22" s="38"/>
      <c r="J22" s="17"/>
      <c r="K22" s="16"/>
      <c r="L22" s="35"/>
      <c r="M22" s="4"/>
      <c r="N22" s="13"/>
      <c r="O22" s="6"/>
      <c r="P22" s="6"/>
      <c r="Q22" s="15"/>
      <c r="R22" s="6"/>
      <c r="S22" s="22"/>
      <c r="T22" s="13"/>
      <c r="U22" s="4"/>
      <c r="V22" s="6"/>
      <c r="W22" s="11"/>
      <c r="X22" s="6"/>
      <c r="Y22" s="7"/>
      <c r="Z22" s="12"/>
      <c r="AA22" s="6"/>
      <c r="AB22" s="4"/>
      <c r="AC22" s="4"/>
      <c r="AD22" s="4"/>
    </row>
    <row r="23" spans="4:30">
      <c r="D23" s="10"/>
      <c r="E23" s="58"/>
      <c r="F23" s="59"/>
      <c r="G23" s="76"/>
      <c r="H23" s="17"/>
      <c r="I23" s="38"/>
      <c r="J23" s="17"/>
      <c r="K23" s="16"/>
      <c r="L23" s="35"/>
      <c r="M23" s="4"/>
      <c r="N23" s="13"/>
      <c r="O23" s="6"/>
      <c r="P23" s="6"/>
      <c r="Q23" s="15"/>
      <c r="R23" s="6"/>
      <c r="S23" s="22"/>
      <c r="T23" s="13"/>
      <c r="U23" s="4"/>
      <c r="V23" s="6"/>
      <c r="W23" s="11"/>
      <c r="X23" s="6"/>
      <c r="Y23" s="7"/>
      <c r="Z23" s="12"/>
      <c r="AA23" s="6"/>
      <c r="AB23" s="4"/>
      <c r="AC23" s="4"/>
      <c r="AD23" s="4"/>
    </row>
    <row r="24" spans="4:30">
      <c r="D24" s="10"/>
      <c r="E24" s="60"/>
      <c r="F24" s="61"/>
      <c r="G24" s="76"/>
      <c r="H24" s="17"/>
      <c r="I24" s="38"/>
      <c r="J24" s="4"/>
      <c r="K24" s="14"/>
      <c r="L24" s="41"/>
      <c r="M24" s="4"/>
      <c r="N24" s="13"/>
      <c r="O24" s="6"/>
      <c r="P24" s="6"/>
      <c r="Q24" s="15"/>
      <c r="R24" s="6"/>
      <c r="S24" s="22"/>
      <c r="T24" s="13"/>
      <c r="U24" s="4"/>
      <c r="V24" s="6"/>
      <c r="W24" s="11"/>
      <c r="X24" s="6"/>
      <c r="Y24" s="7"/>
      <c r="Z24" s="12"/>
      <c r="AA24" s="6"/>
      <c r="AB24" s="4"/>
      <c r="AC24" s="4"/>
      <c r="AD24" s="4"/>
    </row>
    <row r="25" spans="4:30">
      <c r="D25" s="10"/>
      <c r="E25" s="67" t="s">
        <v>20</v>
      </c>
      <c r="F25" s="68">
        <f>SUM(F19:F24)</f>
        <v>0</v>
      </c>
      <c r="G25" s="76"/>
      <c r="H25" s="17"/>
      <c r="I25" s="38"/>
      <c r="J25" s="4"/>
      <c r="K25" s="14"/>
      <c r="L25" s="41"/>
      <c r="M25" s="4"/>
      <c r="N25" s="13"/>
      <c r="O25" s="6"/>
      <c r="P25" s="6"/>
      <c r="Q25" s="15"/>
      <c r="R25" s="6"/>
      <c r="S25" s="22"/>
      <c r="T25" s="13"/>
      <c r="U25" s="4"/>
      <c r="V25" s="6"/>
      <c r="W25" s="11"/>
      <c r="X25" s="6"/>
      <c r="Y25" s="7"/>
      <c r="Z25" s="12"/>
      <c r="AA25" s="6"/>
      <c r="AB25" s="4"/>
      <c r="AC25" s="4"/>
      <c r="AD25" s="4"/>
    </row>
    <row r="26" spans="4:30">
      <c r="D26" s="10"/>
      <c r="E26" s="69"/>
      <c r="F26" s="69"/>
      <c r="G26" s="76"/>
      <c r="H26" s="17"/>
      <c r="I26" s="38"/>
      <c r="J26" s="97" t="s">
        <v>20</v>
      </c>
      <c r="K26" s="20">
        <f>SUM(K9:K25)</f>
        <v>980.13</v>
      </c>
      <c r="L26" s="41"/>
      <c r="M26" s="4"/>
      <c r="N26" s="13"/>
      <c r="O26" s="6"/>
      <c r="P26" s="6"/>
      <c r="Q26" s="15"/>
      <c r="R26" s="6"/>
      <c r="S26" s="22"/>
      <c r="T26" s="13"/>
      <c r="U26" s="4"/>
      <c r="V26" s="6"/>
      <c r="W26" s="11"/>
      <c r="X26" s="6"/>
      <c r="Y26" s="7"/>
      <c r="Z26" s="12"/>
      <c r="AA26" s="6"/>
      <c r="AB26" s="4"/>
      <c r="AC26" s="4"/>
      <c r="AD26" s="4"/>
    </row>
    <row r="27" spans="4:30">
      <c r="D27" s="10"/>
      <c r="E27" s="199" t="s">
        <v>78</v>
      </c>
      <c r="F27" s="200"/>
      <c r="G27" s="55"/>
      <c r="H27" s="4"/>
      <c r="I27" s="21"/>
      <c r="J27" s="4" t="s">
        <v>79</v>
      </c>
      <c r="K27" s="8">
        <v>0</v>
      </c>
      <c r="L27" s="41"/>
      <c r="M27" s="4"/>
      <c r="N27" s="13"/>
      <c r="O27" s="6"/>
      <c r="P27" s="6"/>
      <c r="Q27" s="15"/>
      <c r="R27" s="6"/>
      <c r="S27" s="22"/>
      <c r="T27" s="13"/>
      <c r="U27" s="4"/>
      <c r="V27" s="6"/>
      <c r="W27" s="11" t="s">
        <v>122</v>
      </c>
      <c r="X27" s="6"/>
      <c r="Y27" s="7"/>
      <c r="Z27" s="12"/>
      <c r="AA27" s="6"/>
      <c r="AB27" s="4"/>
      <c r="AC27" s="6"/>
      <c r="AD27" s="4"/>
    </row>
    <row r="28" spans="4:30">
      <c r="D28" s="10"/>
      <c r="E28" s="53" t="s">
        <v>67</v>
      </c>
      <c r="F28" s="54"/>
      <c r="G28" s="55"/>
      <c r="H28" s="4"/>
      <c r="I28" s="21"/>
      <c r="J28" s="4" t="s">
        <v>80</v>
      </c>
      <c r="K28" s="8">
        <v>5</v>
      </c>
      <c r="L28" s="39"/>
      <c r="M28" s="4"/>
      <c r="N28" s="13"/>
      <c r="O28" s="6"/>
      <c r="P28" s="6"/>
      <c r="Q28" s="15"/>
      <c r="R28" s="6"/>
      <c r="S28" s="22"/>
      <c r="T28" s="13"/>
      <c r="U28" s="4"/>
      <c r="V28" s="6"/>
      <c r="W28" s="11"/>
      <c r="X28" s="6"/>
      <c r="Y28" s="7"/>
      <c r="Z28" s="12"/>
      <c r="AA28" s="6"/>
      <c r="AB28" s="4"/>
      <c r="AC28" s="4"/>
      <c r="AD28" s="4"/>
    </row>
    <row r="29" spans="4:30">
      <c r="D29" s="10"/>
      <c r="E29" s="53" t="s">
        <v>70</v>
      </c>
      <c r="F29" s="12"/>
      <c r="G29" s="55"/>
      <c r="H29" s="4"/>
      <c r="I29" s="21"/>
      <c r="J29" s="124" t="s">
        <v>11</v>
      </c>
      <c r="K29" s="125">
        <f>Y32</f>
        <v>0</v>
      </c>
      <c r="L29" s="39"/>
      <c r="M29" s="4"/>
      <c r="N29" s="13"/>
      <c r="O29" s="6"/>
      <c r="P29" s="6"/>
      <c r="Q29" s="15"/>
      <c r="R29" s="6"/>
      <c r="S29" s="22"/>
      <c r="T29" s="13"/>
      <c r="U29" s="4"/>
      <c r="V29" s="6"/>
      <c r="W29" s="11"/>
      <c r="X29" s="6"/>
      <c r="Y29" s="7"/>
      <c r="Z29" s="12"/>
      <c r="AA29" s="6"/>
      <c r="AB29" s="4"/>
      <c r="AC29" s="4"/>
      <c r="AD29" s="4"/>
    </row>
    <row r="30" spans="4:30">
      <c r="D30" s="10"/>
      <c r="E30" s="56"/>
      <c r="F30" s="57"/>
      <c r="G30" s="55"/>
      <c r="H30" s="4"/>
      <c r="I30" s="21"/>
      <c r="J30" s="4" t="s">
        <v>81</v>
      </c>
      <c r="K30" s="8">
        <v>0</v>
      </c>
      <c r="L30" s="39"/>
      <c r="M30" s="4"/>
      <c r="N30" s="13"/>
      <c r="O30" s="6"/>
      <c r="P30" s="6"/>
      <c r="Q30" s="15"/>
      <c r="R30" s="6"/>
      <c r="S30" s="22"/>
      <c r="T30" s="13"/>
      <c r="U30" s="4"/>
      <c r="V30" s="6"/>
      <c r="W30" s="11"/>
      <c r="X30" s="6"/>
      <c r="Y30" s="7"/>
      <c r="Z30" s="12"/>
      <c r="AA30" s="6"/>
      <c r="AB30" s="4"/>
    </row>
    <row r="31" spans="4:30">
      <c r="D31" s="10"/>
      <c r="E31" s="58"/>
      <c r="F31" s="12"/>
      <c r="G31" s="55"/>
      <c r="H31" s="4"/>
      <c r="I31" s="21"/>
      <c r="J31" s="4" t="s">
        <v>82</v>
      </c>
      <c r="K31" s="8">
        <v>0</v>
      </c>
      <c r="L31" s="39"/>
      <c r="M31" s="4"/>
      <c r="N31" s="13"/>
      <c r="O31" s="6"/>
      <c r="P31" s="6"/>
      <c r="Q31" s="15"/>
      <c r="R31" s="6"/>
      <c r="S31" s="22"/>
      <c r="T31" s="13"/>
      <c r="U31" s="4"/>
      <c r="V31" s="6"/>
      <c r="W31" s="11"/>
      <c r="X31" s="6"/>
      <c r="Y31" s="7"/>
      <c r="Z31" s="12"/>
      <c r="AA31" s="6"/>
      <c r="AB31" s="4"/>
    </row>
    <row r="32" spans="4:30">
      <c r="D32" s="10"/>
      <c r="E32" s="58"/>
      <c r="F32" s="59"/>
      <c r="G32" s="55"/>
      <c r="H32" s="4"/>
      <c r="I32" s="208" t="s">
        <v>83</v>
      </c>
      <c r="J32" s="209"/>
      <c r="K32" s="81">
        <f>K26-K27-K28-K29-K30-K31</f>
        <v>975.13</v>
      </c>
      <c r="L32" s="210">
        <f>SUM(N9:N31)</f>
        <v>585</v>
      </c>
      <c r="M32" s="211"/>
      <c r="N32" s="212"/>
      <c r="O32" s="213">
        <f>SUM(P9:P31)</f>
        <v>0</v>
      </c>
      <c r="P32" s="214"/>
      <c r="Q32" s="201">
        <f>SUM(R9:R31)</f>
        <v>224.13</v>
      </c>
      <c r="R32" s="202"/>
      <c r="S32" s="203">
        <f>SUM(T9:T31)</f>
        <v>25</v>
      </c>
      <c r="T32" s="204"/>
      <c r="U32" s="205">
        <f>SUM(V9:V31)</f>
        <v>72.680000000000007</v>
      </c>
      <c r="V32" s="206"/>
      <c r="W32" s="205">
        <f>SUM(X9:X31)</f>
        <v>10.9</v>
      </c>
      <c r="X32" s="207"/>
      <c r="Y32" s="189">
        <f>SUM(Z9:Z31)</f>
        <v>0</v>
      </c>
      <c r="Z32" s="190"/>
      <c r="AA32" s="6"/>
      <c r="AB32" s="4"/>
    </row>
    <row r="33" spans="4:28">
      <c r="D33" s="10"/>
      <c r="E33" s="60"/>
      <c r="F33" s="61"/>
      <c r="G33" s="55"/>
      <c r="H33" s="4"/>
      <c r="I33" s="184" t="s">
        <v>31</v>
      </c>
      <c r="J33" s="185"/>
      <c r="K33" s="43">
        <f>K32-L34</f>
        <v>57.419999999999959</v>
      </c>
      <c r="L33" s="186">
        <f>SUM(L32:R32)</f>
        <v>809.13</v>
      </c>
      <c r="M33" s="187"/>
      <c r="N33" s="187"/>
      <c r="O33" s="187"/>
      <c r="P33" s="187"/>
      <c r="Q33" s="187"/>
      <c r="R33" s="188"/>
      <c r="S33" s="193">
        <f>S32+U32+W32</f>
        <v>108.58000000000001</v>
      </c>
      <c r="T33" s="194"/>
      <c r="U33" s="194"/>
      <c r="V33" s="194"/>
      <c r="W33" s="194"/>
      <c r="X33" s="195"/>
      <c r="Y33" s="189"/>
      <c r="Z33" s="190"/>
      <c r="AA33" s="6"/>
      <c r="AB33" s="4"/>
    </row>
    <row r="34" spans="4:28" ht="18.75">
      <c r="D34" s="10"/>
      <c r="E34" s="67" t="s">
        <v>20</v>
      </c>
      <c r="F34" s="68">
        <f>SUM(F28:F33)</f>
        <v>0</v>
      </c>
      <c r="G34" s="55"/>
      <c r="H34" s="4"/>
      <c r="I34" s="4"/>
      <c r="J34" s="6"/>
      <c r="K34" s="8"/>
      <c r="L34" s="196">
        <f>L33+S33</f>
        <v>917.71</v>
      </c>
      <c r="M34" s="197"/>
      <c r="N34" s="197"/>
      <c r="O34" s="197"/>
      <c r="P34" s="197"/>
      <c r="Q34" s="197"/>
      <c r="R34" s="197"/>
      <c r="S34" s="197"/>
      <c r="T34" s="197"/>
      <c r="U34" s="197"/>
      <c r="V34" s="197"/>
      <c r="W34" s="197"/>
      <c r="X34" s="198"/>
      <c r="Y34" s="191"/>
      <c r="Z34" s="192"/>
      <c r="AA34" s="6"/>
      <c r="AB34" s="4"/>
    </row>
    <row r="35" spans="4:28">
      <c r="D35" s="10"/>
      <c r="E35" s="70"/>
      <c r="F35" s="70"/>
      <c r="G35" s="5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4:28">
      <c r="D36" s="1"/>
      <c r="E36" s="180" t="s">
        <v>84</v>
      </c>
      <c r="F36" s="181"/>
      <c r="G36" s="2"/>
    </row>
    <row r="37" spans="4:28">
      <c r="D37" s="1"/>
      <c r="E37" s="182" t="s">
        <v>85</v>
      </c>
      <c r="F37" s="183"/>
      <c r="G37" s="2"/>
    </row>
    <row r="38" spans="4:28">
      <c r="D38" s="1"/>
      <c r="E38" s="60" t="s">
        <v>67</v>
      </c>
      <c r="F38" s="62">
        <v>0</v>
      </c>
      <c r="G38" s="2"/>
      <c r="N38" s="130"/>
    </row>
    <row r="39" spans="4:28">
      <c r="D39" s="1"/>
      <c r="E39" s="60" t="s">
        <v>70</v>
      </c>
      <c r="F39" s="62">
        <f>K30</f>
        <v>0</v>
      </c>
      <c r="G39" s="2"/>
      <c r="N39" s="130"/>
      <c r="Q39" s="132"/>
    </row>
    <row r="40" spans="4:28">
      <c r="D40" s="1"/>
      <c r="E40" s="65" t="s">
        <v>20</v>
      </c>
      <c r="F40" s="66">
        <f>SUM(F38:F39)</f>
        <v>0</v>
      </c>
      <c r="G40" s="2"/>
      <c r="Q40" s="132"/>
    </row>
    <row r="41" spans="4:28">
      <c r="D41" s="1"/>
      <c r="E41" s="182" t="s">
        <v>86</v>
      </c>
      <c r="F41" s="183"/>
      <c r="G41" s="2"/>
      <c r="Q41" s="132"/>
    </row>
    <row r="42" spans="4:28">
      <c r="D42" s="1"/>
      <c r="E42" s="60" t="s">
        <v>67</v>
      </c>
      <c r="F42" s="62">
        <v>0</v>
      </c>
      <c r="G42" s="2"/>
      <c r="Q42" s="132"/>
    </row>
    <row r="43" spans="4:28">
      <c r="D43" s="1"/>
      <c r="E43" s="60" t="s">
        <v>70</v>
      </c>
      <c r="F43" s="62">
        <f>K31</f>
        <v>0</v>
      </c>
      <c r="G43" s="2"/>
      <c r="Q43" s="132"/>
    </row>
    <row r="44" spans="4:28">
      <c r="D44" s="1"/>
      <c r="E44" s="65" t="s">
        <v>20</v>
      </c>
      <c r="F44" s="66">
        <f>SUM(F42:F43)</f>
        <v>0</v>
      </c>
      <c r="G44" s="2"/>
    </row>
    <row r="45" spans="4:28">
      <c r="D45" s="1"/>
      <c r="E45" s="63" t="s">
        <v>20</v>
      </c>
      <c r="F45" s="64">
        <f>F44+F40</f>
        <v>0</v>
      </c>
      <c r="G45" s="2"/>
    </row>
    <row r="46" spans="4:28">
      <c r="D46" s="78"/>
      <c r="E46" s="79"/>
      <c r="F46" s="79"/>
      <c r="G46" s="80"/>
    </row>
  </sheetData>
  <mergeCells count="29">
    <mergeCell ref="E37:F37"/>
    <mergeCell ref="E41:F41"/>
    <mergeCell ref="W32:X32"/>
    <mergeCell ref="Y32:Z34"/>
    <mergeCell ref="I33:J33"/>
    <mergeCell ref="L33:R33"/>
    <mergeCell ref="S33:X33"/>
    <mergeCell ref="L34:X34"/>
    <mergeCell ref="O32:P32"/>
    <mergeCell ref="Q32:R32"/>
    <mergeCell ref="S32:T32"/>
    <mergeCell ref="U32:V32"/>
    <mergeCell ref="E36:F36"/>
    <mergeCell ref="E13:F13"/>
    <mergeCell ref="E18:F18"/>
    <mergeCell ref="E27:F27"/>
    <mergeCell ref="I32:J32"/>
    <mergeCell ref="L32:N32"/>
    <mergeCell ref="E6:F6"/>
    <mergeCell ref="I6:Z6"/>
    <mergeCell ref="AC6:AD6"/>
    <mergeCell ref="I7:K7"/>
    <mergeCell ref="L7:N7"/>
    <mergeCell ref="O7:P7"/>
    <mergeCell ref="Q7:R7"/>
    <mergeCell ref="S7:T7"/>
    <mergeCell ref="U7:V7"/>
    <mergeCell ref="W7:X7"/>
    <mergeCell ref="Y7:Z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8DA5-64A0-496C-B166-33C4D638FFEB}">
  <sheetPr>
    <tabColor theme="9" tint="-0.249977111117893"/>
  </sheetPr>
  <dimension ref="C3:AC44"/>
  <sheetViews>
    <sheetView topLeftCell="F1" workbookViewId="0">
      <selection activeCell="W26" sqref="W26"/>
    </sheetView>
  </sheetViews>
  <sheetFormatPr defaultRowHeight="15.75"/>
  <cols>
    <col min="4" max="4" width="24.375" customWidth="1"/>
    <col min="5" max="5" width="14.5" customWidth="1"/>
    <col min="9" max="9" width="19.375" customWidth="1"/>
    <col min="10" max="10" width="12" customWidth="1"/>
    <col min="11" max="11" width="11.75" customWidth="1"/>
    <col min="12" max="12" width="15.75" customWidth="1"/>
    <col min="14" max="14" width="11.875" customWidth="1"/>
    <col min="16" max="16" width="14.25" customWidth="1"/>
    <col min="18" max="18" width="15.125" customWidth="1"/>
    <col min="20" max="20" width="15.25" customWidth="1"/>
    <col min="22" max="22" width="15.625" customWidth="1"/>
    <col min="23" max="23" width="14.625" customWidth="1"/>
    <col min="24" max="24" width="13.875" customWidth="1"/>
    <col min="28" max="28" width="22.375" customWidth="1"/>
    <col min="29" max="29" width="79.125" customWidth="1"/>
  </cols>
  <sheetData>
    <row r="3" spans="3:29">
      <c r="C3" s="71"/>
      <c r="D3" s="72"/>
      <c r="E3" s="72"/>
      <c r="F3" s="7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3:29" ht="21">
      <c r="C4" s="10"/>
      <c r="D4" s="215" t="s">
        <v>0</v>
      </c>
      <c r="E4" s="216"/>
      <c r="F4" s="74"/>
      <c r="G4" s="3"/>
      <c r="H4" s="217" t="s">
        <v>227</v>
      </c>
      <c r="I4" s="218"/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9"/>
      <c r="Z4" s="33"/>
      <c r="AA4" s="4"/>
      <c r="AB4" s="220" t="s">
        <v>2</v>
      </c>
      <c r="AC4" s="221"/>
    </row>
    <row r="5" spans="3:29">
      <c r="C5" s="10"/>
      <c r="D5" s="45" t="s">
        <v>3</v>
      </c>
      <c r="E5" s="46">
        <f>K31</f>
        <v>908.81999999999994</v>
      </c>
      <c r="F5" s="75"/>
      <c r="G5" s="5"/>
      <c r="H5" s="222" t="s">
        <v>4</v>
      </c>
      <c r="I5" s="223"/>
      <c r="J5" s="224"/>
      <c r="K5" s="225" t="s">
        <v>5</v>
      </c>
      <c r="L5" s="226"/>
      <c r="M5" s="227"/>
      <c r="N5" s="228" t="s">
        <v>6</v>
      </c>
      <c r="O5" s="229"/>
      <c r="P5" s="230" t="s">
        <v>7</v>
      </c>
      <c r="Q5" s="231"/>
      <c r="R5" s="232" t="s">
        <v>8</v>
      </c>
      <c r="S5" s="233"/>
      <c r="T5" s="234" t="s">
        <v>9</v>
      </c>
      <c r="U5" s="235"/>
      <c r="V5" s="236" t="s">
        <v>10</v>
      </c>
      <c r="W5" s="235"/>
      <c r="X5" s="237" t="s">
        <v>11</v>
      </c>
      <c r="Y5" s="238"/>
      <c r="Z5" s="5"/>
      <c r="AA5" s="4"/>
      <c r="AB5" s="82" t="s">
        <v>5</v>
      </c>
      <c r="AC5" s="83" t="s">
        <v>12</v>
      </c>
    </row>
    <row r="6" spans="3:29">
      <c r="C6" s="10"/>
      <c r="D6" s="47" t="s">
        <v>13</v>
      </c>
      <c r="E6" s="48">
        <f>R31</f>
        <v>208.09</v>
      </c>
      <c r="F6" s="12"/>
      <c r="G6" s="6"/>
      <c r="H6" s="89" t="s">
        <v>14</v>
      </c>
      <c r="I6" s="36" t="s">
        <v>15</v>
      </c>
      <c r="J6" s="36" t="s">
        <v>16</v>
      </c>
      <c r="K6" s="86" t="s">
        <v>14</v>
      </c>
      <c r="L6" s="34" t="s">
        <v>17</v>
      </c>
      <c r="M6" s="87" t="s">
        <v>16</v>
      </c>
      <c r="N6" s="34" t="s">
        <v>17</v>
      </c>
      <c r="O6" s="34" t="s">
        <v>16</v>
      </c>
      <c r="P6" s="9" t="s">
        <v>17</v>
      </c>
      <c r="Q6" s="34" t="s">
        <v>16</v>
      </c>
      <c r="R6" s="88" t="s">
        <v>17</v>
      </c>
      <c r="S6" s="87" t="s">
        <v>16</v>
      </c>
      <c r="T6" s="34" t="s">
        <v>17</v>
      </c>
      <c r="U6" s="34" t="s">
        <v>16</v>
      </c>
      <c r="V6" s="9" t="s">
        <v>17</v>
      </c>
      <c r="W6" s="34" t="s">
        <v>16</v>
      </c>
      <c r="X6" s="111" t="s">
        <v>17</v>
      </c>
      <c r="Y6" s="112" t="s">
        <v>16</v>
      </c>
      <c r="Z6" s="34"/>
      <c r="AA6" s="4"/>
      <c r="AB6" s="82" t="s">
        <v>18</v>
      </c>
      <c r="AC6" s="83" t="s">
        <v>19</v>
      </c>
    </row>
    <row r="7" spans="3:29">
      <c r="C7" s="10"/>
      <c r="D7" s="49" t="s">
        <v>20</v>
      </c>
      <c r="E7" s="50">
        <f>E6+E5</f>
        <v>1116.9099999999999</v>
      </c>
      <c r="F7" s="12"/>
      <c r="G7" s="6"/>
      <c r="H7" s="22"/>
      <c r="I7" s="6" t="s">
        <v>21</v>
      </c>
      <c r="J7" s="8">
        <v>56.99</v>
      </c>
      <c r="K7" s="39"/>
      <c r="L7" s="4" t="s">
        <v>228</v>
      </c>
      <c r="M7" s="13">
        <v>500</v>
      </c>
      <c r="N7" s="4" t="s">
        <v>229</v>
      </c>
      <c r="O7" s="13">
        <v>42</v>
      </c>
      <c r="P7" s="15"/>
      <c r="Q7" s="6">
        <v>6.59</v>
      </c>
      <c r="R7" s="22" t="s">
        <v>209</v>
      </c>
      <c r="S7" s="13">
        <v>25</v>
      </c>
      <c r="T7" s="4" t="s">
        <v>164</v>
      </c>
      <c r="U7" s="6">
        <v>39</v>
      </c>
      <c r="V7" s="11" t="s">
        <v>218</v>
      </c>
      <c r="W7" s="6">
        <v>2.7</v>
      </c>
      <c r="X7" s="7" t="s">
        <v>29</v>
      </c>
      <c r="Y7" s="12"/>
      <c r="Z7" s="6"/>
      <c r="AA7" s="4"/>
      <c r="AB7" s="82" t="s">
        <v>7</v>
      </c>
      <c r="AC7" s="83" t="s">
        <v>30</v>
      </c>
    </row>
    <row r="8" spans="3:29">
      <c r="C8" s="10"/>
      <c r="D8" s="51" t="s">
        <v>31</v>
      </c>
      <c r="E8" s="52">
        <f>J31</f>
        <v>110.98000000000002</v>
      </c>
      <c r="F8" s="12"/>
      <c r="G8" s="6"/>
      <c r="H8" s="22" t="s">
        <v>230</v>
      </c>
      <c r="I8" s="6" t="s">
        <v>220</v>
      </c>
      <c r="J8" s="8">
        <v>152</v>
      </c>
      <c r="K8" s="39"/>
      <c r="L8" s="4" t="s">
        <v>231</v>
      </c>
      <c r="M8" s="13">
        <v>50</v>
      </c>
      <c r="N8" s="4"/>
      <c r="O8" s="6"/>
      <c r="P8" s="15"/>
      <c r="Q8" s="6">
        <v>10.45</v>
      </c>
      <c r="R8" s="22"/>
      <c r="S8" s="13"/>
      <c r="T8" s="4"/>
      <c r="U8" s="6"/>
      <c r="V8" s="11" t="s">
        <v>232</v>
      </c>
      <c r="W8" s="6">
        <v>3.99</v>
      </c>
      <c r="X8" s="7" t="s">
        <v>40</v>
      </c>
      <c r="Y8" s="12"/>
      <c r="Z8" s="6"/>
      <c r="AA8" s="4"/>
      <c r="AB8" s="84" t="s">
        <v>8</v>
      </c>
      <c r="AC8" s="85" t="s">
        <v>41</v>
      </c>
    </row>
    <row r="9" spans="3:29">
      <c r="C9" s="10"/>
      <c r="D9" s="4"/>
      <c r="E9" s="17"/>
      <c r="F9" s="12"/>
      <c r="G9" s="6"/>
      <c r="H9" s="22" t="s">
        <v>230</v>
      </c>
      <c r="I9" s="6" t="s">
        <v>233</v>
      </c>
      <c r="J9" s="8">
        <v>500</v>
      </c>
      <c r="K9" s="39"/>
      <c r="L9" s="4" t="s">
        <v>234</v>
      </c>
      <c r="M9" s="13">
        <v>32</v>
      </c>
      <c r="N9" s="6"/>
      <c r="O9" s="6"/>
      <c r="P9" s="15"/>
      <c r="Q9" s="6">
        <v>2.7</v>
      </c>
      <c r="R9" s="22" t="s">
        <v>235</v>
      </c>
      <c r="S9" s="13">
        <v>2.2000000000000002</v>
      </c>
      <c r="T9" s="4" t="s">
        <v>236</v>
      </c>
      <c r="U9" s="6">
        <v>66.8</v>
      </c>
      <c r="V9" s="11" t="s">
        <v>237</v>
      </c>
      <c r="W9" s="6">
        <v>30</v>
      </c>
      <c r="X9" s="7"/>
      <c r="Y9" s="12"/>
      <c r="Z9" s="6"/>
      <c r="AA9" s="4"/>
      <c r="AB9" s="84" t="s">
        <v>49</v>
      </c>
      <c r="AC9" s="85" t="s">
        <v>50</v>
      </c>
    </row>
    <row r="10" spans="3:29">
      <c r="C10" s="10"/>
      <c r="D10" s="4"/>
      <c r="E10" s="6"/>
      <c r="F10" s="12"/>
      <c r="G10" s="6"/>
      <c r="H10" s="21" t="s">
        <v>238</v>
      </c>
      <c r="I10" s="6" t="s">
        <v>220</v>
      </c>
      <c r="J10" s="8">
        <v>120.15</v>
      </c>
      <c r="K10" s="39"/>
      <c r="L10" s="4" t="s">
        <v>239</v>
      </c>
      <c r="M10" s="13">
        <v>25.61</v>
      </c>
      <c r="N10" s="6"/>
      <c r="O10" s="6"/>
      <c r="P10" s="15"/>
      <c r="Q10" s="139">
        <v>57.16</v>
      </c>
      <c r="R10" s="6" t="s">
        <v>240</v>
      </c>
      <c r="S10" s="13">
        <v>10</v>
      </c>
      <c r="T10" s="4"/>
      <c r="U10" s="6"/>
      <c r="V10" s="11" t="s">
        <v>241</v>
      </c>
      <c r="W10" s="6">
        <v>20</v>
      </c>
      <c r="X10" s="7"/>
      <c r="Y10" s="12"/>
      <c r="Z10" s="6"/>
      <c r="AA10" s="4"/>
      <c r="AB10" s="84" t="s">
        <v>10</v>
      </c>
      <c r="AC10" s="85" t="s">
        <v>57</v>
      </c>
    </row>
    <row r="11" spans="3:29">
      <c r="C11" s="10"/>
      <c r="D11" s="199" t="s">
        <v>58</v>
      </c>
      <c r="E11" s="200"/>
      <c r="F11" s="12"/>
      <c r="G11" s="6"/>
      <c r="H11" s="22" t="s">
        <v>242</v>
      </c>
      <c r="I11" s="6" t="s">
        <v>243</v>
      </c>
      <c r="J11" s="8">
        <v>52</v>
      </c>
      <c r="K11" s="39" t="s">
        <v>244</v>
      </c>
      <c r="L11" s="4" t="s">
        <v>239</v>
      </c>
      <c r="M11" s="13">
        <v>26.56</v>
      </c>
      <c r="N11" s="6"/>
      <c r="O11" s="6"/>
      <c r="P11" s="15"/>
      <c r="Q11" s="23">
        <v>16.32</v>
      </c>
      <c r="R11" s="6"/>
      <c r="S11" s="13"/>
      <c r="T11" s="4"/>
      <c r="U11" s="6"/>
      <c r="V11" s="11" t="s">
        <v>218</v>
      </c>
      <c r="W11" s="6">
        <v>3.6</v>
      </c>
      <c r="X11" s="7"/>
      <c r="Y11" s="12"/>
      <c r="Z11" s="6"/>
      <c r="AA11" s="4"/>
      <c r="AB11" s="122" t="s">
        <v>65</v>
      </c>
      <c r="AC11" s="123" t="s">
        <v>66</v>
      </c>
    </row>
    <row r="12" spans="3:29">
      <c r="C12" s="10"/>
      <c r="D12" s="53" t="s">
        <v>67</v>
      </c>
      <c r="E12" s="54">
        <v>0</v>
      </c>
      <c r="F12" s="75"/>
      <c r="G12" s="5"/>
      <c r="H12" s="44" t="s">
        <v>245</v>
      </c>
      <c r="I12" s="6" t="s">
        <v>220</v>
      </c>
      <c r="J12" s="8">
        <v>159</v>
      </c>
      <c r="K12" s="39" t="s">
        <v>246</v>
      </c>
      <c r="L12" s="4" t="s">
        <v>247</v>
      </c>
      <c r="M12" s="13">
        <v>50</v>
      </c>
      <c r="N12" s="6"/>
      <c r="O12" s="6"/>
      <c r="P12" s="15"/>
      <c r="Q12" s="6">
        <v>4.1900000000000004</v>
      </c>
      <c r="R12" s="22"/>
      <c r="S12" s="13"/>
      <c r="T12" s="4"/>
      <c r="U12" s="6"/>
      <c r="V12" s="11" t="s">
        <v>218</v>
      </c>
      <c r="W12" s="6">
        <v>1.8</v>
      </c>
      <c r="X12" s="7"/>
      <c r="Y12" s="12"/>
      <c r="Z12" s="6"/>
      <c r="AA12" s="4"/>
    </row>
    <row r="13" spans="3:29">
      <c r="C13" s="10"/>
      <c r="D13" s="53" t="s">
        <v>70</v>
      </c>
      <c r="E13" s="12">
        <v>0</v>
      </c>
      <c r="F13" s="76"/>
      <c r="G13" s="17"/>
      <c r="H13" s="38"/>
      <c r="I13" s="6" t="s">
        <v>243</v>
      </c>
      <c r="J13" s="16">
        <v>26</v>
      </c>
      <c r="K13" s="35"/>
      <c r="L13" s="4"/>
      <c r="M13" s="13"/>
      <c r="N13" s="6"/>
      <c r="O13" s="6"/>
      <c r="P13" s="15"/>
      <c r="Q13" s="6">
        <v>8.18</v>
      </c>
      <c r="R13" s="22"/>
      <c r="S13" s="13"/>
      <c r="T13" s="4"/>
      <c r="U13" s="6"/>
      <c r="V13" s="11"/>
      <c r="W13" s="6"/>
      <c r="X13" s="7"/>
      <c r="Y13" s="12"/>
      <c r="Z13" s="6"/>
      <c r="AA13" s="4"/>
      <c r="AB13" s="4"/>
      <c r="AC13" s="4"/>
    </row>
    <row r="14" spans="3:29">
      <c r="C14" s="10"/>
      <c r="D14" s="67" t="s">
        <v>20</v>
      </c>
      <c r="E14" s="68">
        <f>SUM(E12:E13)</f>
        <v>0</v>
      </c>
      <c r="F14" s="77"/>
      <c r="G14" s="17"/>
      <c r="H14" s="38" t="s">
        <v>248</v>
      </c>
      <c r="I14" s="17" t="s">
        <v>220</v>
      </c>
      <c r="J14" s="16">
        <v>161.75</v>
      </c>
      <c r="K14" s="35"/>
      <c r="L14" s="4"/>
      <c r="M14" s="13"/>
      <c r="N14" s="6"/>
      <c r="O14" s="6"/>
      <c r="P14" s="15"/>
      <c r="Q14" s="6">
        <v>29.56</v>
      </c>
      <c r="R14" s="22"/>
      <c r="S14" s="13"/>
      <c r="T14" s="4"/>
      <c r="U14" s="6"/>
      <c r="V14" s="11"/>
      <c r="W14" s="6"/>
      <c r="X14" s="7"/>
      <c r="Y14" s="12"/>
      <c r="Z14" s="6"/>
      <c r="AA14" s="4"/>
      <c r="AB14" s="4"/>
      <c r="AC14" s="4"/>
    </row>
    <row r="15" spans="3:29">
      <c r="C15" s="10"/>
      <c r="D15" s="69"/>
      <c r="E15" s="69"/>
      <c r="F15" s="76"/>
      <c r="G15" s="17"/>
      <c r="H15" s="38"/>
      <c r="I15" s="17"/>
      <c r="J15" s="16"/>
      <c r="K15" s="35"/>
      <c r="L15" s="4"/>
      <c r="M15" s="13"/>
      <c r="N15" s="6"/>
      <c r="O15" s="6"/>
      <c r="P15" s="15"/>
      <c r="Q15" s="6">
        <v>2.5</v>
      </c>
      <c r="R15" s="22"/>
      <c r="S15" s="13"/>
      <c r="T15" s="4"/>
      <c r="U15" s="6"/>
      <c r="V15" s="11"/>
      <c r="W15" s="6"/>
      <c r="X15" s="7"/>
      <c r="Y15" s="12"/>
      <c r="Z15" s="6"/>
      <c r="AA15" s="4"/>
      <c r="AB15" s="4"/>
      <c r="AC15" s="4"/>
    </row>
    <row r="16" spans="3:29">
      <c r="C16" s="10"/>
      <c r="D16" s="199" t="s">
        <v>40</v>
      </c>
      <c r="E16" s="200"/>
      <c r="F16" s="76"/>
      <c r="G16" s="17"/>
      <c r="H16" s="38"/>
      <c r="I16" s="6"/>
      <c r="J16" s="8"/>
      <c r="K16" s="39"/>
      <c r="L16" s="4"/>
      <c r="M16" s="13"/>
      <c r="N16" s="6"/>
      <c r="O16" s="6"/>
      <c r="P16" s="15"/>
      <c r="Q16" s="6">
        <v>45</v>
      </c>
      <c r="R16" s="22"/>
      <c r="S16" s="13"/>
      <c r="T16" s="4"/>
      <c r="U16" s="6"/>
      <c r="V16" s="11"/>
      <c r="W16" s="6"/>
      <c r="X16" s="7"/>
      <c r="Y16" s="12"/>
      <c r="Z16" s="6"/>
      <c r="AA16" s="4"/>
      <c r="AB16" s="4"/>
      <c r="AC16" s="4"/>
    </row>
    <row r="17" spans="3:29">
      <c r="C17" s="10"/>
      <c r="D17" s="53" t="s">
        <v>77</v>
      </c>
      <c r="E17" s="54"/>
      <c r="F17" s="12"/>
      <c r="G17" s="6"/>
      <c r="H17" s="22"/>
      <c r="I17" s="133"/>
      <c r="J17" s="8"/>
      <c r="K17" s="40"/>
      <c r="L17" s="4"/>
      <c r="M17" s="13"/>
      <c r="N17" s="6"/>
      <c r="O17" s="6"/>
      <c r="P17" s="15"/>
      <c r="Q17" s="6"/>
      <c r="R17" s="22"/>
      <c r="S17" s="13"/>
      <c r="T17" s="4"/>
      <c r="U17" s="6"/>
      <c r="V17" s="11"/>
      <c r="W17" s="6"/>
      <c r="X17" s="7"/>
      <c r="Y17" s="12"/>
      <c r="Z17" s="6"/>
      <c r="AA17" s="4"/>
      <c r="AB17" s="4"/>
      <c r="AC17" s="4"/>
    </row>
    <row r="18" spans="3:29">
      <c r="C18" s="10"/>
      <c r="D18" s="53"/>
      <c r="E18" s="12"/>
      <c r="F18" s="75"/>
      <c r="G18" s="5"/>
      <c r="H18" s="37"/>
      <c r="I18" s="17"/>
      <c r="J18" s="16"/>
      <c r="K18" s="35"/>
      <c r="L18" s="4"/>
      <c r="M18" s="13"/>
      <c r="N18" s="6"/>
      <c r="O18" s="6"/>
      <c r="P18" s="15"/>
      <c r="Q18" s="6"/>
      <c r="R18" s="22"/>
      <c r="S18" s="13"/>
      <c r="T18" s="4"/>
      <c r="U18" s="6"/>
      <c r="V18" s="11"/>
      <c r="W18" s="16"/>
      <c r="X18" s="28"/>
      <c r="Y18" s="19"/>
      <c r="Z18" s="16"/>
      <c r="AA18" s="4"/>
      <c r="AB18" s="4"/>
      <c r="AC18" s="4"/>
    </row>
    <row r="19" spans="3:29">
      <c r="C19" s="10"/>
      <c r="D19" s="56"/>
      <c r="E19" s="57"/>
      <c r="F19" s="76"/>
      <c r="G19" s="17"/>
      <c r="H19" s="38"/>
      <c r="I19" s="17"/>
      <c r="J19" s="16"/>
      <c r="K19" s="35"/>
      <c r="L19" s="4"/>
      <c r="M19" s="13"/>
      <c r="N19" s="6"/>
      <c r="O19" s="6"/>
      <c r="P19" s="15"/>
      <c r="Q19" s="6"/>
      <c r="R19" s="22"/>
      <c r="S19" s="13"/>
      <c r="T19" s="4"/>
      <c r="U19" s="6"/>
      <c r="V19" s="11"/>
      <c r="W19" s="6"/>
      <c r="X19" s="7"/>
      <c r="Y19" s="12"/>
      <c r="Z19" s="6"/>
      <c r="AA19" s="4"/>
      <c r="AB19" s="4"/>
      <c r="AC19" s="4"/>
    </row>
    <row r="20" spans="3:29">
      <c r="C20" s="10"/>
      <c r="D20" s="58"/>
      <c r="E20" s="12"/>
      <c r="F20" s="76"/>
      <c r="G20" s="17"/>
      <c r="H20" s="38"/>
      <c r="I20" s="17"/>
      <c r="J20" s="16"/>
      <c r="K20" s="35"/>
      <c r="L20" s="4"/>
      <c r="M20" s="13"/>
      <c r="N20" s="6"/>
      <c r="O20" s="6"/>
      <c r="P20" s="15"/>
      <c r="Q20" s="6"/>
      <c r="R20" s="22"/>
      <c r="S20" s="13"/>
      <c r="T20" s="4"/>
      <c r="U20" s="6"/>
      <c r="V20" s="11"/>
      <c r="W20" s="6"/>
      <c r="X20" s="7"/>
      <c r="Y20" s="12"/>
      <c r="Z20" s="6"/>
      <c r="AA20" s="4"/>
      <c r="AB20" s="4"/>
      <c r="AC20" s="4"/>
    </row>
    <row r="21" spans="3:29">
      <c r="C21" s="10"/>
      <c r="D21" s="58"/>
      <c r="E21" s="59"/>
      <c r="F21" s="76"/>
      <c r="G21" s="17"/>
      <c r="H21" s="38"/>
      <c r="I21" s="17"/>
      <c r="J21" s="16"/>
      <c r="K21" s="35"/>
      <c r="L21" s="4"/>
      <c r="M21" s="13"/>
      <c r="N21" s="6"/>
      <c r="O21" s="6"/>
      <c r="P21" s="15"/>
      <c r="Q21" s="6"/>
      <c r="R21" s="22"/>
      <c r="S21" s="13"/>
      <c r="T21" s="4"/>
      <c r="U21" s="6"/>
      <c r="V21" s="11"/>
      <c r="W21" s="6"/>
      <c r="X21" s="7"/>
      <c r="Y21" s="12"/>
      <c r="Z21" s="6"/>
      <c r="AA21" s="4"/>
      <c r="AB21" s="4"/>
      <c r="AC21" s="4"/>
    </row>
    <row r="22" spans="3:29">
      <c r="C22" s="10"/>
      <c r="D22" s="60"/>
      <c r="E22" s="61"/>
      <c r="F22" s="76"/>
      <c r="G22" s="17"/>
      <c r="H22" s="38"/>
      <c r="I22" s="4"/>
      <c r="J22" s="14"/>
      <c r="K22" s="41"/>
      <c r="L22" s="4"/>
      <c r="M22" s="13"/>
      <c r="N22" s="6"/>
      <c r="O22" s="6"/>
      <c r="P22" s="15"/>
      <c r="Q22" s="6"/>
      <c r="R22" s="22"/>
      <c r="S22" s="13"/>
      <c r="T22" s="4"/>
      <c r="U22" s="6"/>
      <c r="V22" s="11"/>
      <c r="W22" s="6"/>
      <c r="X22" s="7"/>
      <c r="Y22" s="12"/>
      <c r="Z22" s="6"/>
      <c r="AA22" s="4"/>
      <c r="AB22" s="4"/>
      <c r="AC22" s="4"/>
    </row>
    <row r="23" spans="3:29">
      <c r="C23" s="10"/>
      <c r="D23" s="67" t="s">
        <v>20</v>
      </c>
      <c r="E23" s="68">
        <f>SUM(E17:E22)</f>
        <v>0</v>
      </c>
      <c r="F23" s="76"/>
      <c r="G23" s="17"/>
      <c r="H23" s="38"/>
      <c r="I23" s="4"/>
      <c r="J23" s="14"/>
      <c r="K23" s="41"/>
      <c r="L23" s="4"/>
      <c r="M23" s="13"/>
      <c r="N23" s="6"/>
      <c r="O23" s="6"/>
      <c r="P23" s="15"/>
      <c r="Q23" s="6"/>
      <c r="R23" s="22"/>
      <c r="S23" s="13"/>
      <c r="T23" s="4"/>
      <c r="U23" s="6"/>
      <c r="V23" s="11"/>
      <c r="W23" s="6"/>
      <c r="X23" s="7"/>
      <c r="Y23" s="12"/>
      <c r="Z23" s="6"/>
      <c r="AA23" s="4"/>
      <c r="AB23" s="4"/>
      <c r="AC23" s="4"/>
    </row>
    <row r="24" spans="3:29">
      <c r="C24" s="10"/>
      <c r="D24" s="69"/>
      <c r="E24" s="69"/>
      <c r="F24" s="76"/>
      <c r="G24" s="17"/>
      <c r="H24" s="38"/>
      <c r="I24" s="97" t="s">
        <v>20</v>
      </c>
      <c r="J24" s="20">
        <f>SUM(J7:J23)</f>
        <v>1227.8899999999999</v>
      </c>
      <c r="K24" s="41"/>
      <c r="L24" s="4"/>
      <c r="M24" s="13"/>
      <c r="N24" s="6"/>
      <c r="O24" s="6"/>
      <c r="P24" s="15"/>
      <c r="Q24" s="6"/>
      <c r="R24" s="22"/>
      <c r="S24" s="13"/>
      <c r="T24" s="4"/>
      <c r="U24" s="6"/>
      <c r="V24" s="11"/>
      <c r="W24" s="6"/>
      <c r="X24" s="7"/>
      <c r="Y24" s="12"/>
      <c r="Z24" s="6"/>
      <c r="AA24" s="4"/>
      <c r="AB24" s="4"/>
      <c r="AC24" s="4"/>
    </row>
    <row r="25" spans="3:29">
      <c r="C25" s="10"/>
      <c r="D25" s="199" t="s">
        <v>78</v>
      </c>
      <c r="E25" s="200"/>
      <c r="F25" s="55"/>
      <c r="G25" s="4"/>
      <c r="H25" s="21"/>
      <c r="I25" s="4" t="s">
        <v>79</v>
      </c>
      <c r="J25" s="8">
        <v>0</v>
      </c>
      <c r="K25" s="41"/>
      <c r="L25" s="4"/>
      <c r="M25" s="13"/>
      <c r="N25" s="6"/>
      <c r="O25" s="6"/>
      <c r="P25" s="15"/>
      <c r="Q25" s="6"/>
      <c r="R25" s="22"/>
      <c r="S25" s="13"/>
      <c r="T25" s="4"/>
      <c r="U25" s="6"/>
      <c r="V25" s="11" t="s">
        <v>122</v>
      </c>
      <c r="W25" s="6"/>
      <c r="X25" s="7"/>
      <c r="Y25" s="12"/>
      <c r="Z25" s="6"/>
      <c r="AA25" s="4"/>
      <c r="AB25" s="6"/>
      <c r="AC25" s="4"/>
    </row>
    <row r="26" spans="3:29">
      <c r="C26" s="10"/>
      <c r="D26" s="53" t="s">
        <v>67</v>
      </c>
      <c r="E26" s="54"/>
      <c r="F26" s="55"/>
      <c r="G26" s="4"/>
      <c r="H26" s="21"/>
      <c r="I26" s="4" t="s">
        <v>80</v>
      </c>
      <c r="J26" s="8">
        <v>0</v>
      </c>
      <c r="K26" s="39"/>
      <c r="L26" s="4"/>
      <c r="M26" s="13"/>
      <c r="N26" s="6"/>
      <c r="O26" s="6"/>
      <c r="P26" s="15"/>
      <c r="Q26" s="6"/>
      <c r="R26" s="22"/>
      <c r="S26" s="13"/>
      <c r="T26" s="4"/>
      <c r="U26" s="6"/>
      <c r="V26" s="137" t="s">
        <v>249</v>
      </c>
      <c r="W26" s="138">
        <v>3</v>
      </c>
      <c r="X26" s="7"/>
      <c r="Y26" s="12"/>
      <c r="Z26" s="6"/>
      <c r="AA26" s="4"/>
      <c r="AB26" s="4"/>
      <c r="AC26" s="4"/>
    </row>
    <row r="27" spans="3:29">
      <c r="C27" s="10"/>
      <c r="D27" s="53" t="s">
        <v>70</v>
      </c>
      <c r="E27" s="12"/>
      <c r="F27" s="55"/>
      <c r="G27" s="4"/>
      <c r="H27" s="21"/>
      <c r="I27" s="124" t="s">
        <v>11</v>
      </c>
      <c r="J27" s="125">
        <f>X30</f>
        <v>0</v>
      </c>
      <c r="K27" s="39"/>
      <c r="L27" s="4"/>
      <c r="M27" s="13"/>
      <c r="N27" s="6"/>
      <c r="O27" s="6"/>
      <c r="P27" s="15"/>
      <c r="Q27" s="6"/>
      <c r="R27" s="22"/>
      <c r="S27" s="13"/>
      <c r="T27" s="4"/>
      <c r="U27" s="6"/>
      <c r="V27" s="11"/>
      <c r="W27" s="6"/>
      <c r="X27" s="7"/>
      <c r="Y27" s="12"/>
      <c r="Z27" s="6"/>
      <c r="AA27" s="4"/>
      <c r="AB27" s="4"/>
      <c r="AC27" s="4"/>
    </row>
    <row r="28" spans="3:29">
      <c r="C28" s="10"/>
      <c r="D28" s="56"/>
      <c r="E28" s="57"/>
      <c r="F28" s="55"/>
      <c r="G28" s="4"/>
      <c r="H28" s="21"/>
      <c r="I28" s="4" t="s">
        <v>81</v>
      </c>
      <c r="J28" s="8">
        <v>0</v>
      </c>
      <c r="K28" s="39"/>
      <c r="L28" s="4"/>
      <c r="M28" s="13"/>
      <c r="N28" s="6"/>
      <c r="O28" s="6"/>
      <c r="P28" s="15"/>
      <c r="Q28" s="6"/>
      <c r="R28" s="22"/>
      <c r="S28" s="13"/>
      <c r="T28" s="4"/>
      <c r="U28" s="6"/>
      <c r="V28" s="11"/>
      <c r="W28" s="6"/>
      <c r="X28" s="7"/>
      <c r="Y28" s="12"/>
      <c r="Z28" s="6"/>
      <c r="AA28" s="4"/>
    </row>
    <row r="29" spans="3:29">
      <c r="C29" s="10"/>
      <c r="D29" s="58"/>
      <c r="E29" s="12"/>
      <c r="F29" s="55"/>
      <c r="G29" s="4"/>
      <c r="H29" s="21"/>
      <c r="I29" s="4" t="s">
        <v>82</v>
      </c>
      <c r="J29" s="8">
        <v>0</v>
      </c>
      <c r="K29" s="39"/>
      <c r="L29" s="4"/>
      <c r="M29" s="13"/>
      <c r="N29" s="6"/>
      <c r="O29" s="6"/>
      <c r="P29" s="15"/>
      <c r="Q29" s="6"/>
      <c r="R29" s="22"/>
      <c r="S29" s="13"/>
      <c r="T29" s="4"/>
      <c r="U29" s="6"/>
      <c r="V29" s="11"/>
      <c r="W29" s="6"/>
      <c r="X29" s="7"/>
      <c r="Y29" s="12"/>
      <c r="Z29" s="6"/>
      <c r="AA29" s="4"/>
    </row>
    <row r="30" spans="3:29">
      <c r="C30" s="10"/>
      <c r="D30" s="58"/>
      <c r="E30" s="59"/>
      <c r="F30" s="55"/>
      <c r="G30" s="4"/>
      <c r="H30" s="208" t="s">
        <v>83</v>
      </c>
      <c r="I30" s="209"/>
      <c r="J30" s="81">
        <f>J24-J25-J26-J27-J28-J29</f>
        <v>1227.8899999999999</v>
      </c>
      <c r="K30" s="210">
        <f>SUM(M7:M29)</f>
        <v>684.17</v>
      </c>
      <c r="L30" s="211"/>
      <c r="M30" s="212"/>
      <c r="N30" s="213">
        <f>SUM(O7:O29)</f>
        <v>42</v>
      </c>
      <c r="O30" s="214"/>
      <c r="P30" s="201">
        <f>SUM(Q7:Q29)</f>
        <v>182.65</v>
      </c>
      <c r="Q30" s="202"/>
      <c r="R30" s="203">
        <f>SUM(S7:S29)</f>
        <v>37.200000000000003</v>
      </c>
      <c r="S30" s="204"/>
      <c r="T30" s="205">
        <f>SUM(U7:U29)</f>
        <v>105.8</v>
      </c>
      <c r="U30" s="206"/>
      <c r="V30" s="205">
        <f>SUM(W7:W29)</f>
        <v>65.09</v>
      </c>
      <c r="W30" s="207"/>
      <c r="X30" s="189">
        <f>SUM(Y7:Y29)</f>
        <v>0</v>
      </c>
      <c r="Y30" s="190"/>
      <c r="Z30" s="6"/>
      <c r="AA30" s="4"/>
    </row>
    <row r="31" spans="3:29">
      <c r="C31" s="10"/>
      <c r="D31" s="60"/>
      <c r="E31" s="61"/>
      <c r="F31" s="55"/>
      <c r="G31" s="4"/>
      <c r="H31" s="184" t="s">
        <v>31</v>
      </c>
      <c r="I31" s="185"/>
      <c r="J31" s="43">
        <f>J30-K32</f>
        <v>110.98000000000002</v>
      </c>
      <c r="K31" s="186">
        <f>SUM(K30:Q30)</f>
        <v>908.81999999999994</v>
      </c>
      <c r="L31" s="187"/>
      <c r="M31" s="187"/>
      <c r="N31" s="187"/>
      <c r="O31" s="187"/>
      <c r="P31" s="187"/>
      <c r="Q31" s="188"/>
      <c r="R31" s="193">
        <f>R30+T30+V30</f>
        <v>208.09</v>
      </c>
      <c r="S31" s="194"/>
      <c r="T31" s="194"/>
      <c r="U31" s="194"/>
      <c r="V31" s="194"/>
      <c r="W31" s="195"/>
      <c r="X31" s="189"/>
      <c r="Y31" s="190"/>
      <c r="Z31" s="6"/>
      <c r="AA31" s="4"/>
    </row>
    <row r="32" spans="3:29" ht="18.75">
      <c r="C32" s="10"/>
      <c r="D32" s="67" t="s">
        <v>20</v>
      </c>
      <c r="E32" s="68">
        <f>SUM(E26:E31)</f>
        <v>0</v>
      </c>
      <c r="F32" s="55"/>
      <c r="G32" s="4"/>
      <c r="H32" s="4"/>
      <c r="I32" s="6"/>
      <c r="J32" s="8"/>
      <c r="K32" s="196">
        <f>K31+R31</f>
        <v>1116.9099999999999</v>
      </c>
      <c r="L32" s="197"/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8"/>
      <c r="X32" s="191"/>
      <c r="Y32" s="192"/>
      <c r="Z32" s="6"/>
      <c r="AA32" s="4"/>
    </row>
    <row r="33" spans="3:27">
      <c r="C33" s="10"/>
      <c r="D33" s="70"/>
      <c r="E33" s="70"/>
      <c r="F33" s="5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3:27">
      <c r="C34" s="1"/>
      <c r="D34" s="180" t="s">
        <v>84</v>
      </c>
      <c r="E34" s="181"/>
      <c r="F34" s="2"/>
    </row>
    <row r="35" spans="3:27">
      <c r="C35" s="1"/>
      <c r="D35" s="182" t="s">
        <v>85</v>
      </c>
      <c r="E35" s="183"/>
      <c r="F35" s="2"/>
      <c r="L35" s="239"/>
      <c r="M35" s="239"/>
    </row>
    <row r="36" spans="3:27">
      <c r="C36" s="1"/>
      <c r="D36" s="60" t="s">
        <v>67</v>
      </c>
      <c r="E36" s="62">
        <v>0</v>
      </c>
      <c r="F36" s="2"/>
      <c r="L36" s="130"/>
    </row>
    <row r="37" spans="3:27">
      <c r="C37" s="1"/>
      <c r="D37" s="60" t="s">
        <v>70</v>
      </c>
      <c r="E37" s="62">
        <f>J28</f>
        <v>0</v>
      </c>
      <c r="F37" s="2"/>
      <c r="L37" s="130"/>
      <c r="P37" s="132"/>
    </row>
    <row r="38" spans="3:27">
      <c r="C38" s="1"/>
      <c r="D38" s="65" t="s">
        <v>20</v>
      </c>
      <c r="E38" s="66">
        <f>SUM(E36:E37)</f>
        <v>0</v>
      </c>
      <c r="F38" s="2"/>
      <c r="P38" s="132"/>
    </row>
    <row r="39" spans="3:27">
      <c r="C39" s="1"/>
      <c r="D39" s="182" t="s">
        <v>86</v>
      </c>
      <c r="E39" s="183"/>
      <c r="F39" s="2"/>
      <c r="P39" s="132"/>
    </row>
    <row r="40" spans="3:27">
      <c r="C40" s="1"/>
      <c r="D40" s="60" t="s">
        <v>67</v>
      </c>
      <c r="E40" s="62">
        <v>0</v>
      </c>
      <c r="F40" s="2"/>
      <c r="P40" s="132"/>
    </row>
    <row r="41" spans="3:27">
      <c r="C41" s="1"/>
      <c r="D41" s="60" t="s">
        <v>70</v>
      </c>
      <c r="E41" s="62">
        <f>J29</f>
        <v>0</v>
      </c>
      <c r="F41" s="2"/>
      <c r="L41" s="134"/>
      <c r="M41" s="6"/>
      <c r="N41" s="8"/>
      <c r="P41" s="132"/>
    </row>
    <row r="42" spans="3:27">
      <c r="C42" s="1"/>
      <c r="D42" s="65" t="s">
        <v>20</v>
      </c>
      <c r="E42" s="66">
        <f>SUM(E40:E41)</f>
        <v>0</v>
      </c>
      <c r="F42" s="2"/>
      <c r="L42" s="135"/>
      <c r="M42" s="6"/>
      <c r="N42" s="8"/>
    </row>
    <row r="43" spans="3:27">
      <c r="C43" s="1"/>
      <c r="D43" s="63" t="s">
        <v>20</v>
      </c>
      <c r="E43" s="64">
        <f>E42+E38</f>
        <v>0</v>
      </c>
      <c r="F43" s="2"/>
      <c r="L43" s="136"/>
      <c r="M43" s="6"/>
      <c r="N43" s="8"/>
    </row>
    <row r="44" spans="3:27">
      <c r="C44" s="78"/>
      <c r="D44" s="79"/>
      <c r="E44" s="79"/>
      <c r="F44" s="80"/>
    </row>
  </sheetData>
  <mergeCells count="30">
    <mergeCell ref="D4:E4"/>
    <mergeCell ref="H4:Y4"/>
    <mergeCell ref="AB4:AC4"/>
    <mergeCell ref="H5:J5"/>
    <mergeCell ref="K5:M5"/>
    <mergeCell ref="N5:O5"/>
    <mergeCell ref="P5:Q5"/>
    <mergeCell ref="R5:S5"/>
    <mergeCell ref="T5:U5"/>
    <mergeCell ref="V5:W5"/>
    <mergeCell ref="X5:Y5"/>
    <mergeCell ref="D11:E11"/>
    <mergeCell ref="D16:E16"/>
    <mergeCell ref="D25:E25"/>
    <mergeCell ref="H30:I30"/>
    <mergeCell ref="K30:M30"/>
    <mergeCell ref="D35:E35"/>
    <mergeCell ref="D39:E39"/>
    <mergeCell ref="V30:W30"/>
    <mergeCell ref="X30:Y32"/>
    <mergeCell ref="H31:I31"/>
    <mergeCell ref="K31:Q31"/>
    <mergeCell ref="R31:W31"/>
    <mergeCell ref="K32:W32"/>
    <mergeCell ref="N30:O30"/>
    <mergeCell ref="P30:Q30"/>
    <mergeCell ref="R30:S30"/>
    <mergeCell ref="T30:U30"/>
    <mergeCell ref="D34:E34"/>
    <mergeCell ref="L35:M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8F74-4BA8-459F-A630-67C924E26DB9}">
  <sheetPr>
    <tabColor theme="9" tint="-0.249977111117893"/>
  </sheetPr>
  <dimension ref="D3:AD44"/>
  <sheetViews>
    <sheetView topLeftCell="D1" workbookViewId="0">
      <selection activeCell="X11" sqref="X11"/>
    </sheetView>
  </sheetViews>
  <sheetFormatPr defaultRowHeight="15.75"/>
  <cols>
    <col min="5" max="5" width="19.625" customWidth="1"/>
    <col min="10" max="10" width="20.125" customWidth="1"/>
    <col min="11" max="11" width="9.375" bestFit="1" customWidth="1"/>
    <col min="13" max="13" width="19.25" customWidth="1"/>
    <col min="15" max="15" width="14.625" customWidth="1"/>
    <col min="19" max="19" width="12.875" customWidth="1"/>
    <col min="21" max="21" width="12.5" customWidth="1"/>
    <col min="23" max="23" width="13.75" customWidth="1"/>
    <col min="25" max="25" width="15.75" customWidth="1"/>
    <col min="29" max="29" width="24.375" customWidth="1"/>
    <col min="30" max="30" width="91" customWidth="1"/>
  </cols>
  <sheetData>
    <row r="3" spans="4:30">
      <c r="D3" s="71"/>
      <c r="E3" s="72"/>
      <c r="F3" s="72"/>
      <c r="G3" s="7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4:30" ht="21">
      <c r="D4" s="10"/>
      <c r="E4" s="215" t="s">
        <v>0</v>
      </c>
      <c r="F4" s="216"/>
      <c r="G4" s="74"/>
      <c r="H4" s="3"/>
      <c r="I4" s="217" t="s">
        <v>250</v>
      </c>
      <c r="J4" s="218"/>
      <c r="K4" s="218"/>
      <c r="L4" s="218"/>
      <c r="M4" s="218"/>
      <c r="N4" s="218"/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9"/>
      <c r="AA4" s="33"/>
      <c r="AB4" s="4"/>
      <c r="AC4" s="220" t="s">
        <v>2</v>
      </c>
      <c r="AD4" s="221"/>
    </row>
    <row r="5" spans="4:30">
      <c r="D5" s="10"/>
      <c r="E5" s="45" t="s">
        <v>3</v>
      </c>
      <c r="F5" s="46">
        <f>L31</f>
        <v>900.34</v>
      </c>
      <c r="G5" s="75"/>
      <c r="H5" s="5"/>
      <c r="I5" s="222" t="s">
        <v>4</v>
      </c>
      <c r="J5" s="223"/>
      <c r="K5" s="224"/>
      <c r="L5" s="225" t="s">
        <v>5</v>
      </c>
      <c r="M5" s="226"/>
      <c r="N5" s="227"/>
      <c r="O5" s="228" t="s">
        <v>6</v>
      </c>
      <c r="P5" s="229"/>
      <c r="Q5" s="230" t="s">
        <v>7</v>
      </c>
      <c r="R5" s="231"/>
      <c r="S5" s="232" t="s">
        <v>8</v>
      </c>
      <c r="T5" s="233"/>
      <c r="U5" s="234" t="s">
        <v>9</v>
      </c>
      <c r="V5" s="235"/>
      <c r="W5" s="236" t="s">
        <v>10</v>
      </c>
      <c r="X5" s="235"/>
      <c r="Y5" s="237" t="s">
        <v>11</v>
      </c>
      <c r="Z5" s="238"/>
      <c r="AA5" s="5"/>
      <c r="AB5" s="4"/>
      <c r="AC5" s="82" t="s">
        <v>5</v>
      </c>
      <c r="AD5" s="83" t="s">
        <v>12</v>
      </c>
    </row>
    <row r="6" spans="4:30">
      <c r="D6" s="10"/>
      <c r="E6" s="47" t="s">
        <v>13</v>
      </c>
      <c r="F6" s="48">
        <f>S31</f>
        <v>212.88</v>
      </c>
      <c r="G6" s="12"/>
      <c r="H6" s="6"/>
      <c r="I6" s="89" t="s">
        <v>14</v>
      </c>
      <c r="J6" s="36" t="s">
        <v>15</v>
      </c>
      <c r="K6" s="36" t="s">
        <v>16</v>
      </c>
      <c r="L6" s="86" t="s">
        <v>14</v>
      </c>
      <c r="M6" s="34" t="s">
        <v>17</v>
      </c>
      <c r="N6" s="87" t="s">
        <v>16</v>
      </c>
      <c r="O6" s="34" t="s">
        <v>17</v>
      </c>
      <c r="P6" s="34" t="s">
        <v>16</v>
      </c>
      <c r="Q6" s="9" t="s">
        <v>17</v>
      </c>
      <c r="R6" s="34" t="s">
        <v>16</v>
      </c>
      <c r="S6" s="88" t="s">
        <v>17</v>
      </c>
      <c r="T6" s="87" t="s">
        <v>16</v>
      </c>
      <c r="U6" s="34" t="s">
        <v>17</v>
      </c>
      <c r="V6" s="34" t="s">
        <v>16</v>
      </c>
      <c r="W6" s="9" t="s">
        <v>17</v>
      </c>
      <c r="X6" s="34" t="s">
        <v>16</v>
      </c>
      <c r="Y6" s="111" t="s">
        <v>17</v>
      </c>
      <c r="Z6" s="112" t="s">
        <v>16</v>
      </c>
      <c r="AA6" s="34"/>
      <c r="AB6" s="4"/>
      <c r="AC6" s="82" t="s">
        <v>18</v>
      </c>
      <c r="AD6" s="83" t="s">
        <v>19</v>
      </c>
    </row>
    <row r="7" spans="4:30">
      <c r="D7" s="10"/>
      <c r="E7" s="49" t="s">
        <v>20</v>
      </c>
      <c r="F7" s="50">
        <f>F6+F5</f>
        <v>1113.22</v>
      </c>
      <c r="G7" s="12"/>
      <c r="H7" s="6"/>
      <c r="I7" s="22"/>
      <c r="J7" s="6" t="s">
        <v>21</v>
      </c>
      <c r="K7" s="8">
        <v>110.98</v>
      </c>
      <c r="L7" s="39"/>
      <c r="M7" s="4" t="s">
        <v>228</v>
      </c>
      <c r="N7" s="13">
        <v>500</v>
      </c>
      <c r="O7" s="4" t="s">
        <v>251</v>
      </c>
      <c r="P7" s="13">
        <v>8</v>
      </c>
      <c r="Q7" s="15"/>
      <c r="R7" s="6">
        <v>4.34</v>
      </c>
      <c r="S7" s="22" t="s">
        <v>209</v>
      </c>
      <c r="T7" s="13">
        <v>25</v>
      </c>
      <c r="U7" s="4" t="s">
        <v>252</v>
      </c>
      <c r="V7" s="6">
        <v>51</v>
      </c>
      <c r="W7" s="11" t="s">
        <v>218</v>
      </c>
      <c r="X7" s="6">
        <v>3.6</v>
      </c>
      <c r="Y7" s="7" t="s">
        <v>29</v>
      </c>
      <c r="Z7" s="12"/>
      <c r="AA7" s="6"/>
      <c r="AB7" s="4"/>
      <c r="AC7" s="82" t="s">
        <v>7</v>
      </c>
      <c r="AD7" s="83" t="s">
        <v>30</v>
      </c>
    </row>
    <row r="8" spans="4:30">
      <c r="D8" s="10"/>
      <c r="E8" s="51" t="s">
        <v>31</v>
      </c>
      <c r="F8" s="52">
        <f>K31</f>
        <v>480.27</v>
      </c>
      <c r="G8" s="12"/>
      <c r="H8" s="6"/>
      <c r="I8" s="22" t="s">
        <v>253</v>
      </c>
      <c r="J8" s="6" t="s">
        <v>220</v>
      </c>
      <c r="K8" s="8">
        <v>175.86</v>
      </c>
      <c r="L8" s="39"/>
      <c r="M8" s="4" t="s">
        <v>254</v>
      </c>
      <c r="N8" s="13">
        <v>50</v>
      </c>
      <c r="O8" s="4" t="s">
        <v>255</v>
      </c>
      <c r="P8" s="6">
        <v>12</v>
      </c>
      <c r="Q8" s="15"/>
      <c r="R8" s="6">
        <v>5.58</v>
      </c>
      <c r="S8" s="22" t="s">
        <v>256</v>
      </c>
      <c r="T8" s="13">
        <v>4.5</v>
      </c>
      <c r="U8" s="4" t="s">
        <v>257</v>
      </c>
      <c r="V8" s="6">
        <v>5</v>
      </c>
      <c r="W8" s="11" t="s">
        <v>258</v>
      </c>
      <c r="X8" s="6">
        <v>9</v>
      </c>
      <c r="Y8" s="7" t="s">
        <v>40</v>
      </c>
      <c r="Z8" s="12"/>
      <c r="AA8" s="6"/>
      <c r="AB8" s="4"/>
      <c r="AC8" s="84" t="s">
        <v>8</v>
      </c>
      <c r="AD8" s="85" t="s">
        <v>41</v>
      </c>
    </row>
    <row r="9" spans="4:30">
      <c r="D9" s="10"/>
      <c r="E9" s="4"/>
      <c r="F9" s="17"/>
      <c r="G9" s="12"/>
      <c r="H9" s="6"/>
      <c r="I9" s="22"/>
      <c r="J9" s="6" t="s">
        <v>243</v>
      </c>
      <c r="K9" s="8">
        <v>78</v>
      </c>
      <c r="L9" s="39"/>
      <c r="M9" s="4" t="s">
        <v>234</v>
      </c>
      <c r="N9" s="13">
        <v>32.5</v>
      </c>
      <c r="O9" s="6" t="s">
        <v>259</v>
      </c>
      <c r="P9" s="6">
        <v>23.11</v>
      </c>
      <c r="Q9" s="15"/>
      <c r="R9" s="6">
        <v>4.05</v>
      </c>
      <c r="S9" s="22" t="s">
        <v>260</v>
      </c>
      <c r="T9" s="13">
        <v>25</v>
      </c>
      <c r="U9" s="4" t="s">
        <v>261</v>
      </c>
      <c r="V9" s="6">
        <v>29.9</v>
      </c>
      <c r="W9" s="11" t="s">
        <v>262</v>
      </c>
      <c r="X9" s="6">
        <v>11.99</v>
      </c>
      <c r="Y9" s="7"/>
      <c r="Z9" s="12"/>
      <c r="AA9" s="6"/>
      <c r="AB9" s="4"/>
      <c r="AC9" s="84" t="s">
        <v>49</v>
      </c>
      <c r="AD9" s="85" t="s">
        <v>50</v>
      </c>
    </row>
    <row r="10" spans="4:30">
      <c r="D10" s="10"/>
      <c r="E10" s="4"/>
      <c r="F10" s="6"/>
      <c r="G10" s="12"/>
      <c r="H10" s="6"/>
      <c r="I10" s="21" t="s">
        <v>263</v>
      </c>
      <c r="J10" s="6" t="s">
        <v>220</v>
      </c>
      <c r="K10" s="8">
        <v>302</v>
      </c>
      <c r="L10" s="39"/>
      <c r="M10" s="4" t="s">
        <v>239</v>
      </c>
      <c r="N10" s="13">
        <v>25</v>
      </c>
      <c r="O10" s="6" t="s">
        <v>264</v>
      </c>
      <c r="P10" s="6">
        <v>3</v>
      </c>
      <c r="Q10" s="15"/>
      <c r="R10" s="23">
        <v>2.97</v>
      </c>
      <c r="S10" s="6" t="s">
        <v>185</v>
      </c>
      <c r="T10" s="13">
        <v>24.15</v>
      </c>
      <c r="U10" s="4" t="s">
        <v>265</v>
      </c>
      <c r="V10" s="6"/>
      <c r="W10" s="11" t="s">
        <v>266</v>
      </c>
      <c r="X10" s="6"/>
      <c r="Y10" s="7"/>
      <c r="Z10" s="12"/>
      <c r="AA10" s="6"/>
      <c r="AB10" s="4"/>
      <c r="AC10" s="84" t="s">
        <v>10</v>
      </c>
      <c r="AD10" s="85" t="s">
        <v>57</v>
      </c>
    </row>
    <row r="11" spans="4:30">
      <c r="D11" s="10"/>
      <c r="E11" s="199" t="s">
        <v>58</v>
      </c>
      <c r="F11" s="200"/>
      <c r="G11" s="12"/>
      <c r="H11" s="6"/>
      <c r="I11" s="22"/>
      <c r="J11" s="6" t="s">
        <v>243</v>
      </c>
      <c r="K11" s="8">
        <v>52</v>
      </c>
      <c r="L11" s="39"/>
      <c r="M11" s="4"/>
      <c r="N11" s="13"/>
      <c r="O11" s="6"/>
      <c r="P11" s="6"/>
      <c r="Q11" s="15"/>
      <c r="R11" s="23">
        <v>12.78</v>
      </c>
      <c r="S11" s="141" t="s">
        <v>267</v>
      </c>
      <c r="T11" s="142">
        <v>10.95</v>
      </c>
      <c r="U11" s="4" t="s">
        <v>268</v>
      </c>
      <c r="V11" s="6">
        <v>7</v>
      </c>
      <c r="W11" s="11" t="s">
        <v>269</v>
      </c>
      <c r="X11" s="6">
        <v>1.8</v>
      </c>
      <c r="Y11" s="7"/>
      <c r="Z11" s="12"/>
      <c r="AA11" s="6"/>
      <c r="AB11" s="4"/>
      <c r="AC11" s="122" t="s">
        <v>65</v>
      </c>
      <c r="AD11" s="123" t="s">
        <v>66</v>
      </c>
    </row>
    <row r="12" spans="4:30">
      <c r="D12" s="10"/>
      <c r="E12" s="53" t="s">
        <v>67</v>
      </c>
      <c r="F12" s="54">
        <v>0</v>
      </c>
      <c r="G12" s="75"/>
      <c r="H12" s="5"/>
      <c r="I12" s="44" t="s">
        <v>270</v>
      </c>
      <c r="J12" s="6" t="s">
        <v>271</v>
      </c>
      <c r="K12" s="8">
        <v>141.15</v>
      </c>
      <c r="L12" s="39"/>
      <c r="M12" s="4"/>
      <c r="N12" s="13"/>
      <c r="O12" s="6"/>
      <c r="P12" s="6"/>
      <c r="Q12" s="15"/>
      <c r="R12" s="6">
        <v>23</v>
      </c>
      <c r="S12" s="22"/>
      <c r="T12" s="13"/>
      <c r="U12" s="4" t="s">
        <v>232</v>
      </c>
      <c r="V12" s="6">
        <v>3.99</v>
      </c>
      <c r="W12" s="11"/>
      <c r="X12" s="6"/>
      <c r="Y12" s="7"/>
      <c r="Z12" s="12"/>
      <c r="AA12" s="6"/>
      <c r="AB12" s="4"/>
    </row>
    <row r="13" spans="4:30">
      <c r="D13" s="10"/>
      <c r="E13" s="53" t="s">
        <v>70</v>
      </c>
      <c r="F13" s="12">
        <v>0</v>
      </c>
      <c r="G13" s="76"/>
      <c r="H13" s="17"/>
      <c r="I13" s="38"/>
      <c r="J13" s="6" t="s">
        <v>272</v>
      </c>
      <c r="K13" s="16">
        <v>130</v>
      </c>
      <c r="L13" s="35"/>
      <c r="M13" s="4"/>
      <c r="N13" s="13"/>
      <c r="O13" s="6"/>
      <c r="P13" s="6"/>
      <c r="Q13" s="15"/>
      <c r="R13" s="6">
        <v>9.25</v>
      </c>
      <c r="S13" s="22"/>
      <c r="T13" s="13"/>
      <c r="U13" s="4"/>
      <c r="V13" s="6"/>
      <c r="W13" s="11"/>
      <c r="X13" s="6"/>
      <c r="Y13" s="7"/>
      <c r="Z13" s="12"/>
      <c r="AA13" s="6"/>
      <c r="AB13" s="4"/>
      <c r="AC13" s="4"/>
      <c r="AD13" s="4"/>
    </row>
    <row r="14" spans="4:30">
      <c r="D14" s="10"/>
      <c r="E14" s="67" t="s">
        <v>20</v>
      </c>
      <c r="F14" s="68">
        <f>SUM(F12:F13)</f>
        <v>0</v>
      </c>
      <c r="G14" s="77"/>
      <c r="H14" s="17"/>
      <c r="I14" s="38" t="s">
        <v>273</v>
      </c>
      <c r="J14" s="17" t="s">
        <v>220</v>
      </c>
      <c r="K14" s="16">
        <v>180</v>
      </c>
      <c r="L14" s="35"/>
      <c r="M14" s="4"/>
      <c r="N14" s="13"/>
      <c r="O14" s="6"/>
      <c r="P14" s="6"/>
      <c r="Q14" s="15"/>
      <c r="R14" s="6">
        <v>2.4900000000000002</v>
      </c>
      <c r="S14" s="22"/>
      <c r="T14" s="13"/>
      <c r="U14" s="4"/>
      <c r="V14" s="6"/>
      <c r="W14" s="11"/>
      <c r="X14" s="6"/>
      <c r="Y14" s="7"/>
      <c r="Z14" s="12"/>
      <c r="AA14" s="6"/>
      <c r="AB14" s="4"/>
      <c r="AC14" s="4"/>
      <c r="AD14" s="4"/>
    </row>
    <row r="15" spans="4:30">
      <c r="D15" s="10"/>
      <c r="E15" s="69"/>
      <c r="F15" s="69"/>
      <c r="G15" s="76"/>
      <c r="H15" s="17"/>
      <c r="I15" s="38"/>
      <c r="J15" s="17" t="s">
        <v>272</v>
      </c>
      <c r="K15" s="16"/>
      <c r="L15" s="35"/>
      <c r="M15" s="4"/>
      <c r="N15" s="13"/>
      <c r="O15" s="6"/>
      <c r="P15" s="6"/>
      <c r="Q15" s="15"/>
      <c r="R15" s="6">
        <v>4.5</v>
      </c>
      <c r="S15" s="22"/>
      <c r="T15" s="13"/>
      <c r="U15" s="4"/>
      <c r="V15" s="6"/>
      <c r="W15" s="11"/>
      <c r="X15" s="6"/>
      <c r="Y15" s="7"/>
      <c r="Z15" s="12"/>
      <c r="AA15" s="6"/>
      <c r="AB15" s="4"/>
      <c r="AC15" s="4"/>
      <c r="AD15" s="4"/>
    </row>
    <row r="16" spans="4:30">
      <c r="D16" s="10"/>
      <c r="E16" s="199" t="s">
        <v>40</v>
      </c>
      <c r="F16" s="200"/>
      <c r="G16" s="76"/>
      <c r="H16" s="17"/>
      <c r="I16" s="38" t="s">
        <v>274</v>
      </c>
      <c r="J16" s="6" t="s">
        <v>220</v>
      </c>
      <c r="K16" s="8">
        <v>248</v>
      </c>
      <c r="L16" s="39"/>
      <c r="M16" s="4"/>
      <c r="N16" s="13"/>
      <c r="O16" s="6"/>
      <c r="P16" s="6"/>
      <c r="Q16" s="15"/>
      <c r="R16" s="6">
        <v>83.5</v>
      </c>
      <c r="S16" s="22"/>
      <c r="T16" s="13"/>
      <c r="U16" s="4"/>
      <c r="V16" s="6"/>
      <c r="W16" s="11"/>
      <c r="X16" s="6"/>
      <c r="Y16" s="7"/>
      <c r="Z16" s="12"/>
      <c r="AA16" s="6"/>
      <c r="AB16" s="4"/>
      <c r="AC16" s="4"/>
      <c r="AD16" s="4"/>
    </row>
    <row r="17" spans="4:30">
      <c r="D17" s="10"/>
      <c r="E17" s="53" t="s">
        <v>77</v>
      </c>
      <c r="F17" s="54"/>
      <c r="G17" s="12"/>
      <c r="H17" s="6"/>
      <c r="I17" s="22"/>
      <c r="J17" s="133" t="s">
        <v>272</v>
      </c>
      <c r="K17" s="8">
        <v>175.5</v>
      </c>
      <c r="L17" s="40"/>
      <c r="M17" s="4"/>
      <c r="N17" s="13"/>
      <c r="O17" s="6"/>
      <c r="P17" s="6"/>
      <c r="Q17" s="15"/>
      <c r="R17" s="6">
        <v>5.48</v>
      </c>
      <c r="S17" s="22"/>
      <c r="T17" s="13"/>
      <c r="U17" s="4"/>
      <c r="V17" s="6"/>
      <c r="W17" s="11"/>
      <c r="X17" s="6"/>
      <c r="Y17" s="7"/>
      <c r="Z17" s="12"/>
      <c r="AA17" s="6"/>
      <c r="AB17" s="4"/>
      <c r="AC17" s="4"/>
      <c r="AD17" s="4"/>
    </row>
    <row r="18" spans="4:30">
      <c r="D18" s="10"/>
      <c r="E18" s="53"/>
      <c r="F18" s="12"/>
      <c r="G18" s="75"/>
      <c r="H18" s="5"/>
      <c r="I18" s="37"/>
      <c r="J18" s="17"/>
      <c r="K18" s="16"/>
      <c r="L18" s="35"/>
      <c r="M18" s="4"/>
      <c r="N18" s="13"/>
      <c r="O18" s="6"/>
      <c r="P18" s="6"/>
      <c r="Q18" s="15" t="s">
        <v>275</v>
      </c>
      <c r="R18" s="6">
        <v>40</v>
      </c>
      <c r="S18" s="140"/>
      <c r="T18" s="13"/>
      <c r="U18" s="4"/>
      <c r="V18" s="6"/>
      <c r="W18" s="11"/>
      <c r="X18" s="16"/>
      <c r="Y18" s="28"/>
      <c r="Z18" s="19"/>
      <c r="AA18" s="16"/>
      <c r="AB18" s="4"/>
      <c r="AC18" s="4"/>
      <c r="AD18" s="4"/>
    </row>
    <row r="19" spans="4:30">
      <c r="D19" s="10"/>
      <c r="E19" s="56"/>
      <c r="F19" s="57"/>
      <c r="G19" s="76"/>
      <c r="H19" s="17"/>
      <c r="I19" s="38"/>
      <c r="J19" s="17"/>
      <c r="K19" s="16"/>
      <c r="L19" s="35"/>
      <c r="M19" s="4"/>
      <c r="N19" s="13"/>
      <c r="O19" s="6"/>
      <c r="P19" s="6"/>
      <c r="Q19" s="15"/>
      <c r="R19" s="6">
        <v>10</v>
      </c>
      <c r="S19" s="22"/>
      <c r="T19" s="13"/>
      <c r="U19" s="4"/>
      <c r="V19" s="6"/>
      <c r="W19" s="11"/>
      <c r="X19" s="6"/>
      <c r="Y19" s="7"/>
      <c r="Z19" s="12"/>
      <c r="AA19" s="6"/>
      <c r="AB19" s="4"/>
      <c r="AC19" s="4"/>
      <c r="AD19" s="4"/>
    </row>
    <row r="20" spans="4:30">
      <c r="D20" s="10"/>
      <c r="E20" s="58"/>
      <c r="F20" s="12"/>
      <c r="G20" s="76"/>
      <c r="H20" s="17"/>
      <c r="I20" s="38"/>
      <c r="J20" s="17"/>
      <c r="K20" s="16"/>
      <c r="L20" s="35"/>
      <c r="M20" s="4"/>
      <c r="N20" s="13"/>
      <c r="O20" s="6"/>
      <c r="P20" s="6"/>
      <c r="Q20" s="15"/>
      <c r="R20" s="6">
        <v>5.25</v>
      </c>
      <c r="S20" s="22"/>
      <c r="T20" s="13"/>
      <c r="U20" s="4"/>
      <c r="V20" s="6"/>
      <c r="W20" s="11"/>
      <c r="X20" s="6"/>
      <c r="Y20" s="7"/>
      <c r="Z20" s="12"/>
      <c r="AA20" s="6"/>
      <c r="AB20" s="4"/>
      <c r="AC20" s="4"/>
      <c r="AD20" s="4"/>
    </row>
    <row r="21" spans="4:30">
      <c r="D21" s="10"/>
      <c r="E21" s="58"/>
      <c r="F21" s="59"/>
      <c r="G21" s="76"/>
      <c r="H21" s="17"/>
      <c r="I21" s="38"/>
      <c r="J21" s="17"/>
      <c r="K21" s="16"/>
      <c r="L21" s="35"/>
      <c r="M21" s="4"/>
      <c r="N21" s="13"/>
      <c r="O21" s="6"/>
      <c r="P21" s="6"/>
      <c r="Q21" s="15"/>
      <c r="R21" s="6">
        <v>8</v>
      </c>
      <c r="S21" s="22"/>
      <c r="T21" s="13"/>
      <c r="U21" s="4"/>
      <c r="V21" s="6"/>
      <c r="W21" s="11"/>
      <c r="X21" s="6"/>
      <c r="Y21" s="7"/>
      <c r="Z21" s="12"/>
      <c r="AA21" s="6"/>
      <c r="AB21" s="4"/>
      <c r="AC21" s="4"/>
      <c r="AD21" s="4"/>
    </row>
    <row r="22" spans="4:30">
      <c r="D22" s="10"/>
      <c r="E22" s="60"/>
      <c r="F22" s="61"/>
      <c r="G22" s="76"/>
      <c r="H22" s="17"/>
      <c r="I22" s="38"/>
      <c r="J22" s="4"/>
      <c r="K22" s="14"/>
      <c r="L22" s="41"/>
      <c r="M22" s="4"/>
      <c r="N22" s="13"/>
      <c r="O22" s="6"/>
      <c r="P22" s="6"/>
      <c r="Q22" s="15"/>
      <c r="R22" s="6">
        <v>5.55</v>
      </c>
      <c r="S22" s="22"/>
      <c r="T22" s="13"/>
      <c r="U22" s="4"/>
      <c r="V22" s="6"/>
      <c r="W22" s="11"/>
      <c r="X22" s="6"/>
      <c r="Y22" s="7"/>
      <c r="Z22" s="12"/>
      <c r="AA22" s="6"/>
      <c r="AB22" s="4"/>
      <c r="AC22" s="4"/>
      <c r="AD22" s="4"/>
    </row>
    <row r="23" spans="4:30">
      <c r="D23" s="10"/>
      <c r="E23" s="67" t="s">
        <v>20</v>
      </c>
      <c r="F23" s="68">
        <f>SUM(F17:F22)</f>
        <v>0</v>
      </c>
      <c r="G23" s="76"/>
      <c r="H23" s="17"/>
      <c r="I23" s="38"/>
      <c r="J23" s="4"/>
      <c r="K23" s="14"/>
      <c r="L23" s="41"/>
      <c r="M23" s="4"/>
      <c r="N23" s="13"/>
      <c r="O23" s="6"/>
      <c r="P23" s="6"/>
      <c r="Q23" s="15"/>
      <c r="R23" s="6">
        <v>15</v>
      </c>
      <c r="S23" s="22"/>
      <c r="T23" s="13"/>
      <c r="U23" s="4"/>
      <c r="V23" s="6"/>
      <c r="W23" s="11"/>
      <c r="X23" s="6"/>
      <c r="Y23" s="7"/>
      <c r="Z23" s="12"/>
      <c r="AA23" s="6"/>
      <c r="AB23" s="4"/>
      <c r="AC23" s="4"/>
      <c r="AD23" s="4"/>
    </row>
    <row r="24" spans="4:30">
      <c r="D24" s="10"/>
      <c r="E24" s="69"/>
      <c r="F24" s="69"/>
      <c r="G24" s="76"/>
      <c r="H24" s="17"/>
      <c r="I24" s="38"/>
      <c r="J24" s="97" t="s">
        <v>20</v>
      </c>
      <c r="K24" s="20">
        <f>SUM(K7:K23)</f>
        <v>1593.49</v>
      </c>
      <c r="L24" s="41"/>
      <c r="M24" s="4"/>
      <c r="N24" s="13"/>
      <c r="O24" s="6"/>
      <c r="P24" s="6"/>
      <c r="Q24" s="15" t="s">
        <v>276</v>
      </c>
      <c r="R24" s="6">
        <v>4.99</v>
      </c>
      <c r="S24" s="22"/>
      <c r="T24" s="13"/>
      <c r="U24" s="4"/>
      <c r="V24" s="6"/>
      <c r="W24" s="11"/>
      <c r="X24" s="6"/>
      <c r="Y24" s="7"/>
      <c r="Z24" s="12"/>
      <c r="AA24" s="6"/>
      <c r="AB24" s="4"/>
      <c r="AC24" s="4"/>
      <c r="AD24" s="4"/>
    </row>
    <row r="25" spans="4:30">
      <c r="D25" s="10"/>
      <c r="E25" s="199" t="s">
        <v>78</v>
      </c>
      <c r="F25" s="200"/>
      <c r="G25" s="55"/>
      <c r="H25" s="4"/>
      <c r="I25" s="21"/>
      <c r="J25" s="4" t="s">
        <v>79</v>
      </c>
      <c r="K25" s="8">
        <v>0</v>
      </c>
      <c r="L25" s="41"/>
      <c r="M25" s="4"/>
      <c r="N25" s="13"/>
      <c r="O25" s="6"/>
      <c r="P25" s="6"/>
      <c r="Q25" s="15"/>
      <c r="R25" s="6"/>
      <c r="S25" s="22"/>
      <c r="T25" s="13"/>
      <c r="U25" s="4"/>
      <c r="V25" s="6"/>
      <c r="W25" s="11" t="s">
        <v>122</v>
      </c>
      <c r="X25" s="6"/>
      <c r="Y25" s="7"/>
      <c r="Z25" s="12"/>
      <c r="AA25" s="6"/>
      <c r="AB25" s="4"/>
      <c r="AC25" s="6"/>
      <c r="AD25" s="4"/>
    </row>
    <row r="26" spans="4:30">
      <c r="D26" s="10"/>
      <c r="E26" s="53" t="s">
        <v>67</v>
      </c>
      <c r="F26" s="54"/>
      <c r="G26" s="55"/>
      <c r="H26" s="4"/>
      <c r="I26" s="21"/>
      <c r="J26" s="4" t="s">
        <v>80</v>
      </c>
      <c r="K26" s="8">
        <v>0</v>
      </c>
      <c r="L26" s="39"/>
      <c r="M26" s="4"/>
      <c r="N26" s="13"/>
      <c r="O26" s="6"/>
      <c r="P26" s="6"/>
      <c r="Q26" s="15"/>
      <c r="R26" s="6"/>
      <c r="S26" s="22"/>
      <c r="T26" s="13"/>
      <c r="U26" s="4"/>
      <c r="V26" s="6"/>
      <c r="W26" s="11"/>
      <c r="X26" s="6"/>
      <c r="Y26" s="7"/>
      <c r="Z26" s="12"/>
      <c r="AA26" s="6"/>
      <c r="AB26" s="4"/>
      <c r="AC26" s="4"/>
      <c r="AD26" s="4"/>
    </row>
    <row r="27" spans="4:30">
      <c r="D27" s="10"/>
      <c r="E27" s="53" t="s">
        <v>70</v>
      </c>
      <c r="F27" s="12"/>
      <c r="G27" s="55"/>
      <c r="H27" s="4"/>
      <c r="I27" s="21"/>
      <c r="J27" s="124" t="s">
        <v>11</v>
      </c>
      <c r="K27" s="125">
        <f>Y30</f>
        <v>0</v>
      </c>
      <c r="L27" s="39"/>
      <c r="M27" s="4"/>
      <c r="N27" s="13"/>
      <c r="O27" s="6"/>
      <c r="P27" s="6"/>
      <c r="Q27" s="15"/>
      <c r="R27" s="6"/>
      <c r="S27" s="22"/>
      <c r="T27" s="13"/>
      <c r="U27" s="4"/>
      <c r="V27" s="6"/>
      <c r="W27" s="11"/>
      <c r="X27" s="6"/>
      <c r="Y27" s="7"/>
      <c r="Z27" s="12"/>
      <c r="AA27" s="6"/>
      <c r="AB27" s="4"/>
      <c r="AC27" s="4"/>
      <c r="AD27" s="4"/>
    </row>
    <row r="28" spans="4:30">
      <c r="D28" s="10"/>
      <c r="E28" s="56"/>
      <c r="F28" s="57"/>
      <c r="G28" s="55"/>
      <c r="H28" s="4"/>
      <c r="I28" s="21"/>
      <c r="J28" s="4" t="s">
        <v>81</v>
      </c>
      <c r="K28" s="8">
        <v>0</v>
      </c>
      <c r="L28" s="39"/>
      <c r="M28" s="4"/>
      <c r="N28" s="13"/>
      <c r="O28" s="6"/>
      <c r="P28" s="6"/>
      <c r="Q28" s="15"/>
      <c r="R28" s="6"/>
      <c r="S28" s="22"/>
      <c r="T28" s="13"/>
      <c r="U28" s="4"/>
      <c r="V28" s="6"/>
      <c r="W28" s="11"/>
      <c r="X28" s="6"/>
      <c r="Y28" s="7"/>
      <c r="Z28" s="12"/>
      <c r="AA28" s="6"/>
      <c r="AB28" s="4"/>
    </row>
    <row r="29" spans="4:30">
      <c r="D29" s="10"/>
      <c r="E29" s="58"/>
      <c r="F29" s="12"/>
      <c r="G29" s="55"/>
      <c r="H29" s="4"/>
      <c r="I29" s="21"/>
      <c r="J29" s="4" t="s">
        <v>82</v>
      </c>
      <c r="K29" s="8">
        <v>0</v>
      </c>
      <c r="L29" s="39"/>
      <c r="M29" s="4"/>
      <c r="N29" s="13"/>
      <c r="O29" s="6"/>
      <c r="P29" s="6"/>
      <c r="Q29" s="15"/>
      <c r="R29" s="6"/>
      <c r="S29" s="22"/>
      <c r="T29" s="13"/>
      <c r="U29" s="4"/>
      <c r="V29" s="6"/>
      <c r="W29" s="11"/>
      <c r="X29" s="6"/>
      <c r="Y29" s="7"/>
      <c r="Z29" s="12"/>
      <c r="AA29" s="6"/>
      <c r="AB29" s="4"/>
    </row>
    <row r="30" spans="4:30">
      <c r="D30" s="10"/>
      <c r="E30" s="58"/>
      <c r="F30" s="59"/>
      <c r="G30" s="55"/>
      <c r="H30" s="4"/>
      <c r="I30" s="208" t="s">
        <v>83</v>
      </c>
      <c r="J30" s="209"/>
      <c r="K30" s="81">
        <f>K24-K25-K26-K27-K28-K29</f>
        <v>1593.49</v>
      </c>
      <c r="L30" s="210">
        <f>SUM(N7:N29)</f>
        <v>607.5</v>
      </c>
      <c r="M30" s="211"/>
      <c r="N30" s="212"/>
      <c r="O30" s="213">
        <f>SUM(P7:P29)</f>
        <v>46.11</v>
      </c>
      <c r="P30" s="214"/>
      <c r="Q30" s="201">
        <f>SUM(R7:R29)</f>
        <v>246.73</v>
      </c>
      <c r="R30" s="202"/>
      <c r="S30" s="203">
        <f>SUM(T7:T29)</f>
        <v>89.600000000000009</v>
      </c>
      <c r="T30" s="204"/>
      <c r="U30" s="205">
        <f>SUM(V7:V29)</f>
        <v>96.89</v>
      </c>
      <c r="V30" s="206"/>
      <c r="W30" s="205">
        <f>SUM(X7:X29)</f>
        <v>26.39</v>
      </c>
      <c r="X30" s="207"/>
      <c r="Y30" s="189">
        <f>SUM(Z7:Z29)</f>
        <v>0</v>
      </c>
      <c r="Z30" s="190"/>
      <c r="AA30" s="6"/>
      <c r="AB30" s="4"/>
    </row>
    <row r="31" spans="4:30">
      <c r="D31" s="10"/>
      <c r="E31" s="60"/>
      <c r="F31" s="61"/>
      <c r="G31" s="55"/>
      <c r="H31" s="4"/>
      <c r="I31" s="184" t="s">
        <v>31</v>
      </c>
      <c r="J31" s="185"/>
      <c r="K31" s="43">
        <f>K30-L32</f>
        <v>480.27</v>
      </c>
      <c r="L31" s="186">
        <f>SUM(L30:R30)</f>
        <v>900.34</v>
      </c>
      <c r="M31" s="187"/>
      <c r="N31" s="187"/>
      <c r="O31" s="187"/>
      <c r="P31" s="187"/>
      <c r="Q31" s="187"/>
      <c r="R31" s="188"/>
      <c r="S31" s="193">
        <f>S30+U30+W30</f>
        <v>212.88</v>
      </c>
      <c r="T31" s="194"/>
      <c r="U31" s="194"/>
      <c r="V31" s="194"/>
      <c r="W31" s="194"/>
      <c r="X31" s="195"/>
      <c r="Y31" s="189"/>
      <c r="Z31" s="190"/>
      <c r="AA31" s="6"/>
      <c r="AB31" s="4"/>
    </row>
    <row r="32" spans="4:30" ht="18.75">
      <c r="D32" s="10"/>
      <c r="E32" s="67" t="s">
        <v>20</v>
      </c>
      <c r="F32" s="68">
        <f>SUM(F26:F31)</f>
        <v>0</v>
      </c>
      <c r="G32" s="55"/>
      <c r="H32" s="4"/>
      <c r="I32" s="4"/>
      <c r="J32" s="6"/>
      <c r="K32" s="8"/>
      <c r="L32" s="196">
        <f>L31+S31</f>
        <v>1113.22</v>
      </c>
      <c r="M32" s="197"/>
      <c r="N32" s="197"/>
      <c r="O32" s="197"/>
      <c r="P32" s="197"/>
      <c r="Q32" s="197"/>
      <c r="R32" s="197"/>
      <c r="S32" s="197"/>
      <c r="T32" s="197"/>
      <c r="U32" s="197"/>
      <c r="V32" s="197"/>
      <c r="W32" s="197"/>
      <c r="X32" s="198"/>
      <c r="Y32" s="191"/>
      <c r="Z32" s="192"/>
      <c r="AA32" s="6"/>
      <c r="AB32" s="4"/>
    </row>
    <row r="33" spans="4:28">
      <c r="D33" s="10"/>
      <c r="E33" s="70"/>
      <c r="F33" s="70"/>
      <c r="G33" s="5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4:28">
      <c r="D34" s="1"/>
      <c r="E34" s="180" t="s">
        <v>84</v>
      </c>
      <c r="F34" s="181"/>
      <c r="G34" s="2"/>
    </row>
    <row r="35" spans="4:28">
      <c r="D35" s="1"/>
      <c r="E35" s="182" t="s">
        <v>85</v>
      </c>
      <c r="F35" s="183"/>
      <c r="G35" s="2"/>
    </row>
    <row r="36" spans="4:28">
      <c r="D36" s="1"/>
      <c r="E36" s="60" t="s">
        <v>67</v>
      </c>
      <c r="F36" s="62">
        <v>0</v>
      </c>
      <c r="G36" s="2"/>
      <c r="N36" s="130"/>
    </row>
    <row r="37" spans="4:28">
      <c r="D37" s="1"/>
      <c r="E37" s="60" t="s">
        <v>70</v>
      </c>
      <c r="F37" s="62">
        <f>K28</f>
        <v>0</v>
      </c>
      <c r="G37" s="2"/>
      <c r="N37" s="130"/>
      <c r="Q37" s="132"/>
    </row>
    <row r="38" spans="4:28">
      <c r="D38" s="1"/>
      <c r="E38" s="65" t="s">
        <v>20</v>
      </c>
      <c r="F38" s="66">
        <f>SUM(F36:F37)</f>
        <v>0</v>
      </c>
      <c r="G38" s="2"/>
      <c r="Q38" s="132"/>
    </row>
    <row r="39" spans="4:28">
      <c r="D39" s="1"/>
      <c r="E39" s="182" t="s">
        <v>86</v>
      </c>
      <c r="F39" s="183"/>
      <c r="G39" s="2"/>
      <c r="Q39" s="132"/>
    </row>
    <row r="40" spans="4:28">
      <c r="D40" s="1"/>
      <c r="E40" s="60" t="s">
        <v>67</v>
      </c>
      <c r="F40" s="62">
        <v>0</v>
      </c>
      <c r="G40" s="2"/>
      <c r="Q40" s="132"/>
    </row>
    <row r="41" spans="4:28">
      <c r="D41" s="1"/>
      <c r="E41" s="60" t="s">
        <v>70</v>
      </c>
      <c r="F41" s="62">
        <f>K29</f>
        <v>0</v>
      </c>
      <c r="G41" s="2"/>
      <c r="Q41" s="132"/>
    </row>
    <row r="42" spans="4:28">
      <c r="D42" s="1"/>
      <c r="E42" s="65" t="s">
        <v>20</v>
      </c>
      <c r="F42" s="66">
        <f>SUM(F40:F41)</f>
        <v>0</v>
      </c>
      <c r="G42" s="2"/>
    </row>
    <row r="43" spans="4:28">
      <c r="D43" s="1"/>
      <c r="E43" s="63" t="s">
        <v>20</v>
      </c>
      <c r="F43" s="64">
        <f>F42+F38</f>
        <v>0</v>
      </c>
      <c r="G43" s="2"/>
    </row>
    <row r="44" spans="4:28">
      <c r="D44" s="78"/>
      <c r="E44" s="79"/>
      <c r="F44" s="79"/>
      <c r="G44" s="80"/>
    </row>
  </sheetData>
  <mergeCells count="29">
    <mergeCell ref="E4:F4"/>
    <mergeCell ref="I4:Z4"/>
    <mergeCell ref="AC4:AD4"/>
    <mergeCell ref="I5:K5"/>
    <mergeCell ref="L5:N5"/>
    <mergeCell ref="O5:P5"/>
    <mergeCell ref="Q5:R5"/>
    <mergeCell ref="S5:T5"/>
    <mergeCell ref="U5:V5"/>
    <mergeCell ref="W5:X5"/>
    <mergeCell ref="Y5:Z5"/>
    <mergeCell ref="E11:F11"/>
    <mergeCell ref="E16:F16"/>
    <mergeCell ref="E25:F25"/>
    <mergeCell ref="I30:J30"/>
    <mergeCell ref="L30:N30"/>
    <mergeCell ref="E35:F35"/>
    <mergeCell ref="E39:F39"/>
    <mergeCell ref="W30:X30"/>
    <mergeCell ref="Y30:Z32"/>
    <mergeCell ref="I31:J31"/>
    <mergeCell ref="L31:R31"/>
    <mergeCell ref="S31:X31"/>
    <mergeCell ref="L32:X32"/>
    <mergeCell ref="O30:P30"/>
    <mergeCell ref="Q30:R30"/>
    <mergeCell ref="S30:T30"/>
    <mergeCell ref="U30:V30"/>
    <mergeCell ref="E34:F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FE31A-1E36-4FC3-9602-8B265E7CC513}">
  <sheetPr>
    <tabColor theme="9" tint="-0.249977111117893"/>
  </sheetPr>
  <dimension ref="D4:AD45"/>
  <sheetViews>
    <sheetView topLeftCell="G4" workbookViewId="0">
      <selection activeCell="N29" sqref="N29"/>
    </sheetView>
  </sheetViews>
  <sheetFormatPr defaultRowHeight="15.75"/>
  <cols>
    <col min="5" max="5" width="20.125" customWidth="1"/>
    <col min="10" max="10" width="19.25" customWidth="1"/>
    <col min="12" max="12" width="12.5" customWidth="1"/>
    <col min="13" max="13" width="17.75" customWidth="1"/>
    <col min="15" max="15" width="15" customWidth="1"/>
    <col min="17" max="17" width="14.125" customWidth="1"/>
    <col min="18" max="18" width="15.5" customWidth="1"/>
    <col min="19" max="19" width="13.75" customWidth="1"/>
    <col min="21" max="21" width="12" customWidth="1"/>
    <col min="23" max="23" width="12.875" customWidth="1"/>
    <col min="29" max="29" width="32.25" customWidth="1"/>
    <col min="30" max="30" width="78.625" customWidth="1"/>
  </cols>
  <sheetData>
    <row r="4" spans="4:30">
      <c r="D4" s="71"/>
      <c r="E4" s="72"/>
      <c r="F4" s="72"/>
      <c r="G4" s="7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4:30" ht="21">
      <c r="D5" s="10"/>
      <c r="E5" s="215" t="s">
        <v>0</v>
      </c>
      <c r="F5" s="216"/>
      <c r="G5" s="74"/>
      <c r="H5" s="3"/>
      <c r="I5" s="217" t="s">
        <v>277</v>
      </c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9"/>
      <c r="AA5" s="33"/>
      <c r="AB5" s="4"/>
      <c r="AC5" s="220" t="s">
        <v>2</v>
      </c>
      <c r="AD5" s="221"/>
    </row>
    <row r="6" spans="4:30">
      <c r="D6" s="10"/>
      <c r="E6" s="45" t="s">
        <v>3</v>
      </c>
      <c r="F6" s="46">
        <f>L32</f>
        <v>695.95</v>
      </c>
      <c r="G6" s="75"/>
      <c r="H6" s="5"/>
      <c r="I6" s="222" t="s">
        <v>4</v>
      </c>
      <c r="J6" s="223"/>
      <c r="K6" s="224"/>
      <c r="L6" s="225" t="s">
        <v>5</v>
      </c>
      <c r="M6" s="226"/>
      <c r="N6" s="227"/>
      <c r="O6" s="228" t="s">
        <v>6</v>
      </c>
      <c r="P6" s="229"/>
      <c r="Q6" s="230" t="s">
        <v>7</v>
      </c>
      <c r="R6" s="231"/>
      <c r="S6" s="232" t="s">
        <v>8</v>
      </c>
      <c r="T6" s="233"/>
      <c r="U6" s="234" t="s">
        <v>9</v>
      </c>
      <c r="V6" s="235"/>
      <c r="W6" s="236" t="s">
        <v>10</v>
      </c>
      <c r="X6" s="235"/>
      <c r="Y6" s="237" t="s">
        <v>11</v>
      </c>
      <c r="Z6" s="238"/>
      <c r="AA6" s="5"/>
      <c r="AB6" s="4"/>
      <c r="AC6" s="82" t="s">
        <v>5</v>
      </c>
      <c r="AD6" s="83" t="s">
        <v>12</v>
      </c>
    </row>
    <row r="7" spans="4:30">
      <c r="D7" s="10"/>
      <c r="E7" s="47" t="s">
        <v>13</v>
      </c>
      <c r="F7" s="48">
        <f>S32</f>
        <v>347.81</v>
      </c>
      <c r="G7" s="12"/>
      <c r="H7" s="6"/>
      <c r="I7" s="89" t="s">
        <v>14</v>
      </c>
      <c r="J7" s="36" t="s">
        <v>15</v>
      </c>
      <c r="K7" s="36" t="s">
        <v>16</v>
      </c>
      <c r="L7" s="86" t="s">
        <v>14</v>
      </c>
      <c r="M7" s="34" t="s">
        <v>17</v>
      </c>
      <c r="N7" s="87" t="s">
        <v>16</v>
      </c>
      <c r="O7" s="34" t="s">
        <v>17</v>
      </c>
      <c r="P7" s="34" t="s">
        <v>16</v>
      </c>
      <c r="Q7" s="9" t="s">
        <v>17</v>
      </c>
      <c r="R7" s="34" t="s">
        <v>16</v>
      </c>
      <c r="S7" s="88" t="s">
        <v>17</v>
      </c>
      <c r="T7" s="87" t="s">
        <v>16</v>
      </c>
      <c r="U7" s="34" t="s">
        <v>17</v>
      </c>
      <c r="V7" s="34" t="s">
        <v>16</v>
      </c>
      <c r="W7" s="9" t="s">
        <v>17</v>
      </c>
      <c r="X7" s="34" t="s">
        <v>16</v>
      </c>
      <c r="Y7" s="111" t="s">
        <v>17</v>
      </c>
      <c r="Z7" s="112" t="s">
        <v>16</v>
      </c>
      <c r="AA7" s="34"/>
      <c r="AB7" s="4"/>
      <c r="AC7" s="82" t="s">
        <v>18</v>
      </c>
      <c r="AD7" s="83" t="s">
        <v>19</v>
      </c>
    </row>
    <row r="8" spans="4:30">
      <c r="D8" s="10"/>
      <c r="E8" s="49" t="s">
        <v>20</v>
      </c>
      <c r="F8" s="50">
        <f>F7+F6</f>
        <v>1043.76</v>
      </c>
      <c r="G8" s="12"/>
      <c r="H8" s="6"/>
      <c r="I8" s="22"/>
      <c r="J8" s="6" t="s">
        <v>21</v>
      </c>
      <c r="K8" s="8">
        <v>430.28</v>
      </c>
      <c r="L8" s="39"/>
      <c r="M8" s="4" t="s">
        <v>228</v>
      </c>
      <c r="N8" s="13">
        <v>500</v>
      </c>
      <c r="O8" s="4" t="s">
        <v>278</v>
      </c>
      <c r="P8" s="13">
        <v>11.5</v>
      </c>
      <c r="Q8" s="15"/>
      <c r="R8" s="6">
        <v>40</v>
      </c>
      <c r="S8" s="22" t="s">
        <v>209</v>
      </c>
      <c r="T8" s="13"/>
      <c r="U8" s="4" t="s">
        <v>164</v>
      </c>
      <c r="V8" s="6"/>
      <c r="W8" s="11" t="s">
        <v>218</v>
      </c>
      <c r="X8" s="6">
        <v>1.8</v>
      </c>
      <c r="Y8" s="7" t="s">
        <v>29</v>
      </c>
      <c r="Z8" s="12"/>
      <c r="AA8" s="6"/>
      <c r="AB8" s="4"/>
      <c r="AC8" s="82" t="s">
        <v>7</v>
      </c>
      <c r="AD8" s="83" t="s">
        <v>30</v>
      </c>
    </row>
    <row r="9" spans="4:30">
      <c r="D9" s="10"/>
      <c r="E9" s="51" t="s">
        <v>31</v>
      </c>
      <c r="F9" s="52">
        <f>K32</f>
        <v>30.019999999999982</v>
      </c>
      <c r="G9" s="12"/>
      <c r="H9" s="6"/>
      <c r="I9" s="22" t="s">
        <v>279</v>
      </c>
      <c r="J9" s="6" t="s">
        <v>220</v>
      </c>
      <c r="K9" s="143">
        <v>122</v>
      </c>
      <c r="L9" s="39" t="s">
        <v>280</v>
      </c>
      <c r="M9" s="4" t="s">
        <v>254</v>
      </c>
      <c r="N9" s="13">
        <v>50</v>
      </c>
      <c r="O9" s="4"/>
      <c r="P9" s="6"/>
      <c r="Q9" s="15"/>
      <c r="R9" s="6">
        <v>9</v>
      </c>
      <c r="S9" s="22" t="s">
        <v>281</v>
      </c>
      <c r="T9" s="13">
        <v>8.9</v>
      </c>
      <c r="U9" s="4" t="s">
        <v>282</v>
      </c>
      <c r="V9" s="6">
        <v>108.75</v>
      </c>
      <c r="W9" s="11" t="s">
        <v>218</v>
      </c>
      <c r="X9" s="6">
        <v>1</v>
      </c>
      <c r="Y9" s="7" t="s">
        <v>40</v>
      </c>
      <c r="Z9" s="12"/>
      <c r="AA9" s="6"/>
      <c r="AB9" s="4"/>
      <c r="AC9" s="84" t="s">
        <v>8</v>
      </c>
      <c r="AD9" s="85" t="s">
        <v>41</v>
      </c>
    </row>
    <row r="10" spans="4:30">
      <c r="D10" s="10"/>
      <c r="E10" s="4"/>
      <c r="F10" s="17"/>
      <c r="G10" s="12"/>
      <c r="H10" s="6"/>
      <c r="I10" s="22"/>
      <c r="J10" s="6" t="s">
        <v>243</v>
      </c>
      <c r="K10" s="143">
        <v>121</v>
      </c>
      <c r="L10" s="39"/>
      <c r="M10" s="4" t="s">
        <v>234</v>
      </c>
      <c r="N10" s="13">
        <v>31</v>
      </c>
      <c r="O10" s="6"/>
      <c r="P10" s="6"/>
      <c r="Q10" s="15"/>
      <c r="R10" s="6">
        <v>2</v>
      </c>
      <c r="S10" s="22" t="s">
        <v>283</v>
      </c>
      <c r="T10" s="13">
        <v>9.61</v>
      </c>
      <c r="U10" s="4" t="s">
        <v>284</v>
      </c>
      <c r="V10" s="6">
        <v>8.5</v>
      </c>
      <c r="W10" s="11" t="s">
        <v>218</v>
      </c>
      <c r="X10" s="6">
        <v>3.6</v>
      </c>
      <c r="Y10" s="7"/>
      <c r="Z10" s="12"/>
      <c r="AA10" s="6"/>
      <c r="AB10" s="4"/>
      <c r="AC10" s="84" t="s">
        <v>49</v>
      </c>
      <c r="AD10" s="85" t="s">
        <v>50</v>
      </c>
    </row>
    <row r="11" spans="4:30">
      <c r="D11" s="10"/>
      <c r="E11" s="4"/>
      <c r="F11" s="6"/>
      <c r="G11" s="12"/>
      <c r="H11" s="6"/>
      <c r="I11" s="21" t="s">
        <v>285</v>
      </c>
      <c r="J11" s="6" t="s">
        <v>220</v>
      </c>
      <c r="K11" s="8">
        <v>227</v>
      </c>
      <c r="L11" s="39"/>
      <c r="M11" s="4" t="s">
        <v>239</v>
      </c>
      <c r="N11" s="13"/>
      <c r="O11" s="6"/>
      <c r="P11" s="6"/>
      <c r="Q11" s="15"/>
      <c r="R11" s="23">
        <v>1.55</v>
      </c>
      <c r="S11" s="6" t="s">
        <v>286</v>
      </c>
      <c r="T11" s="13">
        <v>40</v>
      </c>
      <c r="U11" s="4" t="s">
        <v>287</v>
      </c>
      <c r="V11" s="6">
        <v>5.49</v>
      </c>
      <c r="W11" s="11" t="s">
        <v>218</v>
      </c>
      <c r="X11" s="6">
        <v>3.6</v>
      </c>
      <c r="Y11" s="7"/>
      <c r="Z11" s="12"/>
      <c r="AA11" s="6"/>
      <c r="AB11" s="4"/>
      <c r="AC11" s="84" t="s">
        <v>10</v>
      </c>
      <c r="AD11" s="85" t="s">
        <v>57</v>
      </c>
    </row>
    <row r="12" spans="4:30">
      <c r="D12" s="10"/>
      <c r="E12" s="199" t="s">
        <v>58</v>
      </c>
      <c r="F12" s="200"/>
      <c r="G12" s="12"/>
      <c r="H12" s="6"/>
      <c r="I12" s="22"/>
      <c r="J12" s="6" t="s">
        <v>243</v>
      </c>
      <c r="K12" s="8"/>
      <c r="L12" s="39"/>
      <c r="M12" s="4"/>
      <c r="N12" s="13"/>
      <c r="O12" s="6"/>
      <c r="P12" s="6"/>
      <c r="Q12" s="15"/>
      <c r="R12" s="23">
        <v>6</v>
      </c>
      <c r="S12" s="6" t="s">
        <v>288</v>
      </c>
      <c r="T12" s="13">
        <v>34</v>
      </c>
      <c r="U12" s="4" t="s">
        <v>289</v>
      </c>
      <c r="V12" s="6">
        <v>17</v>
      </c>
      <c r="W12" s="11" t="s">
        <v>290</v>
      </c>
      <c r="X12" s="6">
        <v>5</v>
      </c>
      <c r="Y12" s="7"/>
      <c r="Z12" s="12"/>
      <c r="AA12" s="6"/>
      <c r="AB12" s="4"/>
      <c r="AC12" s="122" t="s">
        <v>65</v>
      </c>
      <c r="AD12" s="123" t="s">
        <v>66</v>
      </c>
    </row>
    <row r="13" spans="4:30">
      <c r="D13" s="10"/>
      <c r="E13" s="53" t="s">
        <v>67</v>
      </c>
      <c r="F13" s="54">
        <v>0</v>
      </c>
      <c r="G13" s="75"/>
      <c r="H13" s="5"/>
      <c r="I13" s="44" t="s">
        <v>291</v>
      </c>
      <c r="J13" s="6" t="s">
        <v>271</v>
      </c>
      <c r="K13" s="8">
        <v>76</v>
      </c>
      <c r="L13" s="39"/>
      <c r="M13" s="4"/>
      <c r="N13" s="13"/>
      <c r="O13" s="6"/>
      <c r="P13" s="6"/>
      <c r="Q13" s="15"/>
      <c r="R13" s="6">
        <v>30</v>
      </c>
      <c r="S13" s="22" t="s">
        <v>292</v>
      </c>
      <c r="T13" s="13">
        <v>17.73</v>
      </c>
      <c r="U13" s="4" t="s">
        <v>293</v>
      </c>
      <c r="V13" s="6">
        <v>11.95</v>
      </c>
      <c r="W13" s="11" t="s">
        <v>218</v>
      </c>
      <c r="X13" s="6">
        <v>1.8</v>
      </c>
      <c r="Y13" s="7"/>
      <c r="Z13" s="12"/>
      <c r="AA13" s="6"/>
      <c r="AB13" s="4"/>
    </row>
    <row r="14" spans="4:30">
      <c r="D14" s="10"/>
      <c r="E14" s="53" t="s">
        <v>70</v>
      </c>
      <c r="F14" s="12">
        <v>0</v>
      </c>
      <c r="G14" s="76"/>
      <c r="H14" s="17"/>
      <c r="I14" s="38"/>
      <c r="J14" s="6" t="s">
        <v>272</v>
      </c>
      <c r="K14" s="16">
        <v>97.5</v>
      </c>
      <c r="L14" s="35"/>
      <c r="M14" s="4"/>
      <c r="N14" s="13"/>
      <c r="O14" s="6"/>
      <c r="P14" s="6"/>
      <c r="Q14" s="15"/>
      <c r="R14" s="6">
        <v>7</v>
      </c>
      <c r="S14" s="22"/>
      <c r="T14" s="13"/>
      <c r="U14" s="4" t="s">
        <v>294</v>
      </c>
      <c r="V14" s="6">
        <v>18</v>
      </c>
      <c r="W14" s="11" t="s">
        <v>295</v>
      </c>
      <c r="X14" s="6">
        <v>20.5</v>
      </c>
      <c r="Y14" s="7"/>
      <c r="Z14" s="12"/>
      <c r="AA14" s="6"/>
      <c r="AB14" s="4"/>
      <c r="AC14" s="4"/>
      <c r="AD14" s="4"/>
    </row>
    <row r="15" spans="4:30">
      <c r="D15" s="10"/>
      <c r="E15" s="67" t="s">
        <v>20</v>
      </c>
      <c r="F15" s="68">
        <f>SUM(F13:F14)</f>
        <v>0</v>
      </c>
      <c r="G15" s="77"/>
      <c r="H15" s="17"/>
      <c r="I15" s="38"/>
      <c r="J15" s="17"/>
      <c r="K15" s="16"/>
      <c r="L15" s="35"/>
      <c r="M15" s="4"/>
      <c r="N15" s="13"/>
      <c r="O15" s="6"/>
      <c r="P15" s="6"/>
      <c r="Q15" s="15"/>
      <c r="R15" s="6">
        <v>2.9</v>
      </c>
      <c r="S15" s="22"/>
      <c r="T15" s="13"/>
      <c r="U15" s="4"/>
      <c r="V15" s="6"/>
      <c r="W15" s="11" t="s">
        <v>296</v>
      </c>
      <c r="X15" s="6">
        <v>15.58</v>
      </c>
      <c r="Y15" s="7"/>
      <c r="Z15" s="12"/>
      <c r="AA15" s="6"/>
      <c r="AB15" s="4"/>
      <c r="AC15" s="4"/>
      <c r="AD15" s="4"/>
    </row>
    <row r="16" spans="4:30">
      <c r="D16" s="10"/>
      <c r="E16" s="69"/>
      <c r="F16" s="69"/>
      <c r="G16" s="76"/>
      <c r="H16" s="17"/>
      <c r="I16" s="38"/>
      <c r="J16" s="17"/>
      <c r="K16" s="16"/>
      <c r="L16" s="35"/>
      <c r="M16" s="4"/>
      <c r="N16" s="13"/>
      <c r="O16" s="6"/>
      <c r="P16" s="6"/>
      <c r="Q16" s="15"/>
      <c r="R16" s="6">
        <v>5</v>
      </c>
      <c r="S16" s="22"/>
      <c r="T16" s="13"/>
      <c r="U16" s="4"/>
      <c r="V16" s="6"/>
      <c r="W16" s="11" t="s">
        <v>297</v>
      </c>
      <c r="X16" s="6">
        <v>10.5</v>
      </c>
      <c r="Y16" s="7"/>
      <c r="Z16" s="12"/>
      <c r="AA16" s="6"/>
      <c r="AB16" s="4"/>
      <c r="AC16" s="4"/>
      <c r="AD16" s="4"/>
    </row>
    <row r="17" spans="4:30">
      <c r="D17" s="10"/>
      <c r="E17" s="199" t="s">
        <v>40</v>
      </c>
      <c r="F17" s="200"/>
      <c r="G17" s="76"/>
      <c r="H17" s="17"/>
      <c r="I17" s="38"/>
      <c r="J17" s="6"/>
      <c r="K17" s="8"/>
      <c r="L17" s="39"/>
      <c r="M17" s="4"/>
      <c r="N17" s="13"/>
      <c r="O17" s="6"/>
      <c r="P17" s="6"/>
      <c r="Q17" s="15"/>
      <c r="R17" s="6"/>
      <c r="S17" s="22"/>
      <c r="T17" s="13"/>
      <c r="U17" s="4"/>
      <c r="V17" s="6"/>
      <c r="W17" s="11" t="s">
        <v>218</v>
      </c>
      <c r="X17" s="6">
        <v>3.6</v>
      </c>
      <c r="Y17" s="7"/>
      <c r="Z17" s="12"/>
      <c r="AA17" s="6"/>
      <c r="AB17" s="4"/>
      <c r="AC17" s="4"/>
      <c r="AD17" s="4"/>
    </row>
    <row r="18" spans="4:30">
      <c r="D18" s="10"/>
      <c r="E18" s="53" t="s">
        <v>77</v>
      </c>
      <c r="F18" s="54"/>
      <c r="G18" s="12"/>
      <c r="H18" s="6"/>
      <c r="I18" s="22"/>
      <c r="J18" s="133"/>
      <c r="K18" s="18"/>
      <c r="L18" s="40"/>
      <c r="M18" s="4"/>
      <c r="N18" s="13"/>
      <c r="O18" s="6"/>
      <c r="P18" s="6"/>
      <c r="Q18" s="15"/>
      <c r="R18" s="6"/>
      <c r="S18" s="22"/>
      <c r="T18" s="13"/>
      <c r="U18" s="4"/>
      <c r="V18" s="6"/>
      <c r="W18" s="11" t="s">
        <v>218</v>
      </c>
      <c r="X18" s="6">
        <v>0.9</v>
      </c>
      <c r="Y18" s="7"/>
      <c r="Z18" s="12"/>
      <c r="AA18" s="6"/>
      <c r="AB18" s="4"/>
      <c r="AC18" s="4"/>
      <c r="AD18" s="4"/>
    </row>
    <row r="19" spans="4:30">
      <c r="D19" s="10"/>
      <c r="E19" s="53"/>
      <c r="F19" s="12"/>
      <c r="G19" s="75"/>
      <c r="H19" s="5"/>
      <c r="I19" s="37"/>
      <c r="J19" s="17"/>
      <c r="K19" s="16"/>
      <c r="L19" s="35"/>
      <c r="M19" s="4"/>
      <c r="N19" s="13"/>
      <c r="O19" s="6"/>
      <c r="P19" s="6"/>
      <c r="Q19" s="15"/>
      <c r="R19" s="6"/>
      <c r="S19" s="22"/>
      <c r="T19" s="13"/>
      <c r="U19" s="4"/>
      <c r="V19" s="6"/>
      <c r="W19" s="11"/>
      <c r="X19" s="16"/>
      <c r="Y19" s="28"/>
      <c r="Z19" s="19"/>
      <c r="AA19" s="16"/>
      <c r="AB19" s="4"/>
      <c r="AC19" s="4"/>
      <c r="AD19" s="4"/>
    </row>
    <row r="20" spans="4:30">
      <c r="D20" s="10"/>
      <c r="E20" s="56"/>
      <c r="F20" s="57"/>
      <c r="G20" s="76"/>
      <c r="H20" s="17"/>
      <c r="I20" s="38"/>
      <c r="J20" s="17"/>
      <c r="K20" s="16"/>
      <c r="L20" s="35"/>
      <c r="M20" s="4"/>
      <c r="N20" s="13"/>
      <c r="O20" s="6"/>
      <c r="P20" s="6"/>
      <c r="Q20" s="15"/>
      <c r="R20" s="6"/>
      <c r="S20" s="22"/>
      <c r="T20" s="13"/>
      <c r="U20" s="4"/>
      <c r="V20" s="6"/>
      <c r="W20" s="11"/>
      <c r="X20" s="6"/>
      <c r="Y20" s="7"/>
      <c r="Z20" s="12"/>
      <c r="AA20" s="6"/>
      <c r="AB20" s="4"/>
      <c r="AC20" s="4"/>
      <c r="AD20" s="4"/>
    </row>
    <row r="21" spans="4:30">
      <c r="D21" s="10"/>
      <c r="E21" s="58"/>
      <c r="F21" s="12"/>
      <c r="G21" s="76"/>
      <c r="H21" s="17"/>
      <c r="I21" s="38"/>
      <c r="J21" s="17"/>
      <c r="K21" s="16"/>
      <c r="L21" s="35"/>
      <c r="M21" s="4"/>
      <c r="N21" s="13"/>
      <c r="O21" s="6"/>
      <c r="P21" s="6"/>
      <c r="Q21" s="15"/>
      <c r="R21" s="6"/>
      <c r="S21" s="22"/>
      <c r="T21" s="13"/>
      <c r="U21" s="4"/>
      <c r="V21" s="6"/>
      <c r="W21" s="11"/>
      <c r="X21" s="6"/>
      <c r="Y21" s="7"/>
      <c r="Z21" s="12"/>
      <c r="AA21" s="6"/>
      <c r="AB21" s="4"/>
      <c r="AC21" s="4"/>
      <c r="AD21" s="4"/>
    </row>
    <row r="22" spans="4:30">
      <c r="D22" s="10"/>
      <c r="E22" s="58"/>
      <c r="F22" s="59"/>
      <c r="G22" s="76"/>
      <c r="H22" s="17"/>
      <c r="I22" s="38"/>
      <c r="J22" s="17"/>
      <c r="K22" s="16"/>
      <c r="L22" s="35"/>
      <c r="M22" s="4"/>
      <c r="N22" s="13"/>
      <c r="O22" s="6"/>
      <c r="P22" s="6"/>
      <c r="Q22" s="15"/>
      <c r="R22" s="6"/>
      <c r="S22" s="22"/>
      <c r="T22" s="13"/>
      <c r="U22" s="4"/>
      <c r="V22" s="6"/>
      <c r="W22" s="11"/>
      <c r="X22" s="6"/>
      <c r="Y22" s="7"/>
      <c r="Z22" s="12"/>
      <c r="AA22" s="6"/>
      <c r="AB22" s="4"/>
      <c r="AC22" s="4"/>
      <c r="AD22" s="4"/>
    </row>
    <row r="23" spans="4:30">
      <c r="D23" s="10"/>
      <c r="E23" s="60"/>
      <c r="F23" s="61"/>
      <c r="G23" s="76"/>
      <c r="H23" s="17"/>
      <c r="I23" s="38"/>
      <c r="J23" s="4"/>
      <c r="K23" s="14"/>
      <c r="L23" s="41"/>
      <c r="M23" s="4"/>
      <c r="N23" s="13"/>
      <c r="O23" s="6"/>
      <c r="P23" s="6"/>
      <c r="Q23" s="15"/>
      <c r="R23" s="6"/>
      <c r="S23" s="22"/>
      <c r="T23" s="13"/>
      <c r="U23" s="4"/>
      <c r="V23" s="6"/>
      <c r="W23" s="11"/>
      <c r="X23" s="6"/>
      <c r="Y23" s="7"/>
      <c r="Z23" s="12"/>
      <c r="AA23" s="6"/>
      <c r="AB23" s="4"/>
      <c r="AC23" s="4"/>
      <c r="AD23" s="4"/>
    </row>
    <row r="24" spans="4:30">
      <c r="D24" s="10"/>
      <c r="E24" s="67" t="s">
        <v>20</v>
      </c>
      <c r="F24" s="68">
        <f>SUM(F18:F23)</f>
        <v>0</v>
      </c>
      <c r="G24" s="76"/>
      <c r="H24" s="17"/>
      <c r="I24" s="38"/>
      <c r="J24" s="4"/>
      <c r="K24" s="14"/>
      <c r="L24" s="41"/>
      <c r="M24" s="4"/>
      <c r="N24" s="13"/>
      <c r="O24" s="6"/>
      <c r="P24" s="6"/>
      <c r="Q24" s="15"/>
      <c r="R24" s="6"/>
      <c r="S24" s="22"/>
      <c r="T24" s="13"/>
      <c r="U24" s="4"/>
      <c r="V24" s="6"/>
      <c r="W24" s="11"/>
      <c r="X24" s="6"/>
      <c r="Y24" s="7"/>
      <c r="Z24" s="12"/>
      <c r="AA24" s="6"/>
      <c r="AB24" s="4"/>
      <c r="AC24" s="4"/>
      <c r="AD24" s="4"/>
    </row>
    <row r="25" spans="4:30">
      <c r="D25" s="10"/>
      <c r="E25" s="69"/>
      <c r="F25" s="69"/>
      <c r="G25" s="76"/>
      <c r="H25" s="17"/>
      <c r="I25" s="38"/>
      <c r="J25" s="97" t="s">
        <v>20</v>
      </c>
      <c r="K25" s="20">
        <f>SUM(K8:K24)</f>
        <v>1073.78</v>
      </c>
      <c r="L25" s="41"/>
      <c r="M25" s="4"/>
      <c r="N25" s="13"/>
      <c r="O25" s="6"/>
      <c r="P25" s="6"/>
      <c r="Q25" s="15"/>
      <c r="R25" s="6"/>
      <c r="S25" s="22"/>
      <c r="T25" s="13"/>
      <c r="U25" s="4"/>
      <c r="V25" s="6"/>
      <c r="W25" s="11"/>
      <c r="X25" s="6"/>
      <c r="Y25" s="7"/>
      <c r="Z25" s="12"/>
      <c r="AA25" s="6"/>
      <c r="AB25" s="4"/>
      <c r="AC25" s="4"/>
      <c r="AD25" s="4"/>
    </row>
    <row r="26" spans="4:30">
      <c r="D26" s="10"/>
      <c r="E26" s="199" t="s">
        <v>78</v>
      </c>
      <c r="F26" s="200"/>
      <c r="G26" s="55"/>
      <c r="H26" s="4"/>
      <c r="I26" s="21"/>
      <c r="J26" s="4" t="s">
        <v>79</v>
      </c>
      <c r="K26" s="8">
        <v>0</v>
      </c>
      <c r="L26" s="41"/>
      <c r="M26" s="4"/>
      <c r="N26" s="13"/>
      <c r="O26" s="6"/>
      <c r="P26" s="6"/>
      <c r="Q26" s="15"/>
      <c r="R26" s="6"/>
      <c r="S26" s="22"/>
      <c r="T26" s="13"/>
      <c r="U26" s="4"/>
      <c r="V26" s="6"/>
      <c r="W26" s="11" t="s">
        <v>122</v>
      </c>
      <c r="X26" s="6"/>
      <c r="Y26" s="7"/>
      <c r="Z26" s="12"/>
      <c r="AA26" s="6"/>
      <c r="AB26" s="4"/>
      <c r="AC26" s="6"/>
      <c r="AD26" s="4"/>
    </row>
    <row r="27" spans="4:30">
      <c r="D27" s="10"/>
      <c r="E27" s="53" t="s">
        <v>67</v>
      </c>
      <c r="F27" s="54"/>
      <c r="G27" s="55"/>
      <c r="H27" s="4"/>
      <c r="I27" s="21"/>
      <c r="J27" s="4" t="s">
        <v>80</v>
      </c>
      <c r="K27" s="8">
        <v>0</v>
      </c>
      <c r="L27" s="39"/>
      <c r="M27" s="4"/>
      <c r="N27" s="13"/>
      <c r="O27" s="6"/>
      <c r="P27" s="6"/>
      <c r="Q27" s="15"/>
      <c r="R27" s="6"/>
      <c r="S27" s="22"/>
      <c r="T27" s="13"/>
      <c r="U27" s="4"/>
      <c r="V27" s="6"/>
      <c r="W27" s="11"/>
      <c r="X27" s="6"/>
      <c r="Y27" s="7"/>
      <c r="Z27" s="12"/>
      <c r="AA27" s="6"/>
      <c r="AB27" s="4"/>
      <c r="AC27" s="4"/>
      <c r="AD27" s="4"/>
    </row>
    <row r="28" spans="4:30">
      <c r="D28" s="10"/>
      <c r="E28" s="53" t="s">
        <v>70</v>
      </c>
      <c r="F28" s="12"/>
      <c r="G28" s="55"/>
      <c r="H28" s="4"/>
      <c r="I28" s="21"/>
      <c r="J28" s="124" t="s">
        <v>11</v>
      </c>
      <c r="K28" s="125">
        <f>Y31</f>
        <v>0</v>
      </c>
      <c r="L28" s="39"/>
      <c r="M28" s="4"/>
      <c r="N28" s="13"/>
      <c r="O28" s="6"/>
      <c r="P28" s="6"/>
      <c r="Q28" s="15"/>
      <c r="R28" s="6"/>
      <c r="S28" s="22"/>
      <c r="T28" s="13"/>
      <c r="U28" s="4"/>
      <c r="V28" s="6"/>
      <c r="W28" s="11"/>
      <c r="X28" s="6"/>
      <c r="Y28" s="7"/>
      <c r="Z28" s="12"/>
      <c r="AA28" s="6"/>
      <c r="AB28" s="4"/>
      <c r="AC28" s="4"/>
      <c r="AD28" s="4"/>
    </row>
    <row r="29" spans="4:30">
      <c r="D29" s="10"/>
      <c r="E29" s="56"/>
      <c r="F29" s="57"/>
      <c r="G29" s="55"/>
      <c r="H29" s="4"/>
      <c r="I29" s="21"/>
      <c r="J29" s="4" t="s">
        <v>81</v>
      </c>
      <c r="K29" s="8">
        <v>0</v>
      </c>
      <c r="L29" s="39"/>
      <c r="M29" s="4"/>
      <c r="N29" s="13"/>
      <c r="O29" s="6"/>
      <c r="P29" s="6"/>
      <c r="Q29" s="15"/>
      <c r="R29" s="6"/>
      <c r="S29" s="22"/>
      <c r="T29" s="13"/>
      <c r="U29" s="4"/>
      <c r="V29" s="6"/>
      <c r="W29" s="11"/>
      <c r="X29" s="6"/>
      <c r="Y29" s="7"/>
      <c r="Z29" s="12"/>
      <c r="AA29" s="6"/>
      <c r="AB29" s="4"/>
    </row>
    <row r="30" spans="4:30">
      <c r="D30" s="10"/>
      <c r="E30" s="58"/>
      <c r="F30" s="12"/>
      <c r="G30" s="55"/>
      <c r="H30" s="4"/>
      <c r="I30" s="21"/>
      <c r="J30" s="4" t="s">
        <v>82</v>
      </c>
      <c r="K30" s="8">
        <v>0</v>
      </c>
      <c r="L30" s="39"/>
      <c r="M30" s="4"/>
      <c r="N30" s="13"/>
      <c r="O30" s="6"/>
      <c r="P30" s="6"/>
      <c r="Q30" s="15"/>
      <c r="R30" s="6"/>
      <c r="S30" s="22"/>
      <c r="T30" s="13"/>
      <c r="U30" s="4"/>
      <c r="V30" s="6"/>
      <c r="W30" s="11"/>
      <c r="X30" s="6"/>
      <c r="Y30" s="7"/>
      <c r="Z30" s="12"/>
      <c r="AA30" s="6"/>
      <c r="AB30" s="4"/>
    </row>
    <row r="31" spans="4:30">
      <c r="D31" s="10"/>
      <c r="E31" s="58"/>
      <c r="F31" s="59"/>
      <c r="G31" s="55"/>
      <c r="H31" s="4"/>
      <c r="I31" s="208" t="s">
        <v>83</v>
      </c>
      <c r="J31" s="209"/>
      <c r="K31" s="81">
        <f>K25-K26-K27-K28-K29-K30</f>
        <v>1073.78</v>
      </c>
      <c r="L31" s="210">
        <f>SUM(N8:N30)</f>
        <v>581</v>
      </c>
      <c r="M31" s="211"/>
      <c r="N31" s="212"/>
      <c r="O31" s="213">
        <f>SUM(P8:P30)</f>
        <v>11.5</v>
      </c>
      <c r="P31" s="214"/>
      <c r="Q31" s="201">
        <f>SUM(R8:R30)</f>
        <v>103.45</v>
      </c>
      <c r="R31" s="202"/>
      <c r="S31" s="203">
        <f>SUM(T8:T30)</f>
        <v>110.24</v>
      </c>
      <c r="T31" s="204"/>
      <c r="U31" s="205">
        <f>SUM(V8:V30)</f>
        <v>169.69</v>
      </c>
      <c r="V31" s="206"/>
      <c r="W31" s="205">
        <f>SUM(X8:X30)</f>
        <v>67.88</v>
      </c>
      <c r="X31" s="207"/>
      <c r="Y31" s="189">
        <f>SUM(Z8:Z30)</f>
        <v>0</v>
      </c>
      <c r="Z31" s="190"/>
      <c r="AA31" s="6"/>
      <c r="AB31" s="4"/>
    </row>
    <row r="32" spans="4:30">
      <c r="D32" s="10"/>
      <c r="E32" s="60"/>
      <c r="F32" s="61"/>
      <c r="G32" s="55"/>
      <c r="H32" s="4"/>
      <c r="I32" s="184" t="s">
        <v>31</v>
      </c>
      <c r="J32" s="185"/>
      <c r="K32" s="43">
        <f>K31-L33</f>
        <v>30.019999999999982</v>
      </c>
      <c r="L32" s="186">
        <f>SUM(L31:R31)</f>
        <v>695.95</v>
      </c>
      <c r="M32" s="187"/>
      <c r="N32" s="187"/>
      <c r="O32" s="187"/>
      <c r="P32" s="187"/>
      <c r="Q32" s="187"/>
      <c r="R32" s="188"/>
      <c r="S32" s="193">
        <f>S31+U31+W31</f>
        <v>347.81</v>
      </c>
      <c r="T32" s="194"/>
      <c r="U32" s="194"/>
      <c r="V32" s="194"/>
      <c r="W32" s="194"/>
      <c r="X32" s="195"/>
      <c r="Y32" s="189"/>
      <c r="Z32" s="190"/>
      <c r="AA32" s="6"/>
      <c r="AB32" s="4"/>
    </row>
    <row r="33" spans="4:28" ht="18.75">
      <c r="D33" s="10"/>
      <c r="E33" s="67" t="s">
        <v>20</v>
      </c>
      <c r="F33" s="68">
        <f>SUM(F27:F32)</f>
        <v>0</v>
      </c>
      <c r="G33" s="55"/>
      <c r="H33" s="4"/>
      <c r="I33" s="4"/>
      <c r="J33" s="6"/>
      <c r="K33" s="8"/>
      <c r="L33" s="196">
        <f>L32+S32</f>
        <v>1043.76</v>
      </c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8"/>
      <c r="Y33" s="191"/>
      <c r="Z33" s="192"/>
      <c r="AA33" s="6"/>
      <c r="AB33" s="4"/>
    </row>
    <row r="34" spans="4:28">
      <c r="D34" s="10"/>
      <c r="E34" s="70"/>
      <c r="F34" s="70"/>
      <c r="G34" s="5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4:28">
      <c r="D35" s="1"/>
      <c r="E35" s="180" t="s">
        <v>84</v>
      </c>
      <c r="F35" s="181"/>
      <c r="G35" s="2"/>
    </row>
    <row r="36" spans="4:28">
      <c r="D36" s="1"/>
      <c r="E36" s="182" t="s">
        <v>85</v>
      </c>
      <c r="F36" s="183"/>
      <c r="G36" s="2"/>
    </row>
    <row r="37" spans="4:28">
      <c r="D37" s="1"/>
      <c r="E37" s="60" t="s">
        <v>67</v>
      </c>
      <c r="F37" s="62">
        <v>0</v>
      </c>
      <c r="G37" s="2"/>
      <c r="N37" s="130"/>
    </row>
    <row r="38" spans="4:28">
      <c r="D38" s="1"/>
      <c r="E38" s="60" t="s">
        <v>70</v>
      </c>
      <c r="F38" s="62">
        <f>K29</f>
        <v>0</v>
      </c>
      <c r="G38" s="2"/>
      <c r="N38" s="130"/>
      <c r="Q38" s="132"/>
    </row>
    <row r="39" spans="4:28">
      <c r="D39" s="1"/>
      <c r="E39" s="65" t="s">
        <v>20</v>
      </c>
      <c r="F39" s="66">
        <f>SUM(F37:F38)</f>
        <v>0</v>
      </c>
      <c r="G39" s="2"/>
      <c r="Q39" s="132"/>
    </row>
    <row r="40" spans="4:28">
      <c r="D40" s="1"/>
      <c r="E40" s="182" t="s">
        <v>86</v>
      </c>
      <c r="F40" s="183"/>
      <c r="G40" s="2"/>
      <c r="N40" s="144"/>
      <c r="Q40" s="132"/>
    </row>
    <row r="41" spans="4:28">
      <c r="D41" s="1"/>
      <c r="E41" s="60" t="s">
        <v>67</v>
      </c>
      <c r="F41" s="62">
        <v>0</v>
      </c>
      <c r="G41" s="2"/>
      <c r="Q41" s="132"/>
    </row>
    <row r="42" spans="4:28">
      <c r="D42" s="1"/>
      <c r="E42" s="60" t="s">
        <v>70</v>
      </c>
      <c r="F42" s="62">
        <f>K30</f>
        <v>0</v>
      </c>
      <c r="G42" s="2"/>
      <c r="Q42" s="132"/>
    </row>
    <row r="43" spans="4:28">
      <c r="D43" s="1"/>
      <c r="E43" s="65" t="s">
        <v>20</v>
      </c>
      <c r="F43" s="66">
        <f>SUM(F41:F42)</f>
        <v>0</v>
      </c>
      <c r="G43" s="2"/>
    </row>
    <row r="44" spans="4:28">
      <c r="D44" s="1"/>
      <c r="E44" s="63" t="s">
        <v>20</v>
      </c>
      <c r="F44" s="64">
        <f>F43+F39</f>
        <v>0</v>
      </c>
      <c r="G44" s="2"/>
    </row>
    <row r="45" spans="4:28">
      <c r="D45" s="78"/>
      <c r="E45" s="79"/>
      <c r="F45" s="79"/>
      <c r="G45" s="80"/>
    </row>
  </sheetData>
  <mergeCells count="29">
    <mergeCell ref="E5:F5"/>
    <mergeCell ref="I5:Z5"/>
    <mergeCell ref="AC5:AD5"/>
    <mergeCell ref="I6:K6"/>
    <mergeCell ref="L6:N6"/>
    <mergeCell ref="O6:P6"/>
    <mergeCell ref="Q6:R6"/>
    <mergeCell ref="S6:T6"/>
    <mergeCell ref="U6:V6"/>
    <mergeCell ref="W6:X6"/>
    <mergeCell ref="Y6:Z6"/>
    <mergeCell ref="E12:F12"/>
    <mergeCell ref="E17:F17"/>
    <mergeCell ref="E26:F26"/>
    <mergeCell ref="I31:J31"/>
    <mergeCell ref="L31:N31"/>
    <mergeCell ref="E36:F36"/>
    <mergeCell ref="E40:F40"/>
    <mergeCell ref="W31:X31"/>
    <mergeCell ref="Y31:Z33"/>
    <mergeCell ref="I32:J32"/>
    <mergeCell ref="L32:R32"/>
    <mergeCell ref="S32:X32"/>
    <mergeCell ref="L33:X33"/>
    <mergeCell ref="O31:P31"/>
    <mergeCell ref="Q31:R31"/>
    <mergeCell ref="S31:T31"/>
    <mergeCell ref="U31:V31"/>
    <mergeCell ref="E35:F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1AD30-232F-4BD3-80AA-3285CADB67F7}">
  <sheetPr>
    <tabColor theme="9" tint="-0.249977111117893"/>
  </sheetPr>
  <dimension ref="D4:AD45"/>
  <sheetViews>
    <sheetView topLeftCell="J5" workbookViewId="0">
      <selection activeCell="X8" sqref="X8:X21"/>
    </sheetView>
  </sheetViews>
  <sheetFormatPr defaultRowHeight="15.75"/>
  <cols>
    <col min="5" max="5" width="20.125" customWidth="1"/>
    <col min="10" max="10" width="19.25" customWidth="1"/>
    <col min="11" max="11" width="11.25" customWidth="1"/>
    <col min="13" max="13" width="17.75" customWidth="1"/>
    <col min="15" max="15" width="15" customWidth="1"/>
    <col min="18" max="18" width="12.5" customWidth="1"/>
    <col min="19" max="19" width="13" customWidth="1"/>
    <col min="21" max="21" width="12.375" customWidth="1"/>
    <col min="23" max="23" width="17.5" customWidth="1"/>
    <col min="25" max="25" width="23.5" customWidth="1"/>
    <col min="29" max="29" width="32.25" customWidth="1"/>
    <col min="30" max="30" width="78.625" customWidth="1"/>
  </cols>
  <sheetData>
    <row r="4" spans="4:30">
      <c r="D4" s="71"/>
      <c r="E4" s="72"/>
      <c r="F4" s="72"/>
      <c r="G4" s="7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4:30" ht="21">
      <c r="D5" s="10"/>
      <c r="E5" s="215" t="s">
        <v>0</v>
      </c>
      <c r="F5" s="216"/>
      <c r="G5" s="74"/>
      <c r="H5" s="3"/>
      <c r="I5" s="217" t="s">
        <v>298</v>
      </c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9"/>
      <c r="AA5" s="33"/>
      <c r="AB5" s="4"/>
      <c r="AC5" s="220" t="s">
        <v>2</v>
      </c>
      <c r="AD5" s="221"/>
    </row>
    <row r="6" spans="4:30">
      <c r="D6" s="10"/>
      <c r="E6" s="45" t="s">
        <v>3</v>
      </c>
      <c r="F6" s="46">
        <f>L32</f>
        <v>821.79</v>
      </c>
      <c r="G6" s="75"/>
      <c r="H6" s="5"/>
      <c r="I6" s="222" t="s">
        <v>4</v>
      </c>
      <c r="J6" s="223"/>
      <c r="K6" s="224"/>
      <c r="L6" s="225" t="s">
        <v>5</v>
      </c>
      <c r="M6" s="226"/>
      <c r="N6" s="227"/>
      <c r="O6" s="228" t="s">
        <v>6</v>
      </c>
      <c r="P6" s="229"/>
      <c r="Q6" s="230" t="s">
        <v>7</v>
      </c>
      <c r="R6" s="231"/>
      <c r="S6" s="232" t="s">
        <v>8</v>
      </c>
      <c r="T6" s="233"/>
      <c r="U6" s="234" t="s">
        <v>9</v>
      </c>
      <c r="V6" s="235"/>
      <c r="W6" s="236" t="s">
        <v>10</v>
      </c>
      <c r="X6" s="235"/>
      <c r="Y6" s="237" t="s">
        <v>11</v>
      </c>
      <c r="Z6" s="238"/>
      <c r="AA6" s="5"/>
      <c r="AB6" s="4"/>
      <c r="AC6" s="82" t="s">
        <v>5</v>
      </c>
      <c r="AD6" s="83" t="s">
        <v>12</v>
      </c>
    </row>
    <row r="7" spans="4:30">
      <c r="D7" s="10"/>
      <c r="E7" s="47" t="s">
        <v>13</v>
      </c>
      <c r="F7" s="48">
        <f>S32</f>
        <v>469.2000000000001</v>
      </c>
      <c r="G7" s="12"/>
      <c r="H7" s="6"/>
      <c r="I7" s="89" t="s">
        <v>14</v>
      </c>
      <c r="J7" s="36" t="s">
        <v>15</v>
      </c>
      <c r="K7" s="36" t="s">
        <v>16</v>
      </c>
      <c r="L7" s="86" t="s">
        <v>14</v>
      </c>
      <c r="M7" s="34" t="s">
        <v>17</v>
      </c>
      <c r="N7" s="87" t="s">
        <v>16</v>
      </c>
      <c r="O7" s="34" t="s">
        <v>17</v>
      </c>
      <c r="P7" s="34" t="s">
        <v>16</v>
      </c>
      <c r="Q7" s="9" t="s">
        <v>17</v>
      </c>
      <c r="R7" s="34" t="s">
        <v>16</v>
      </c>
      <c r="S7" s="88" t="s">
        <v>17</v>
      </c>
      <c r="T7" s="87" t="s">
        <v>16</v>
      </c>
      <c r="U7" s="34" t="s">
        <v>17</v>
      </c>
      <c r="V7" s="34" t="s">
        <v>16</v>
      </c>
      <c r="W7" s="9" t="s">
        <v>17</v>
      </c>
      <c r="X7" s="34" t="s">
        <v>16</v>
      </c>
      <c r="Y7" s="111" t="s">
        <v>17</v>
      </c>
      <c r="Z7" s="112" t="s">
        <v>16</v>
      </c>
      <c r="AA7" s="34"/>
      <c r="AB7" s="4"/>
      <c r="AC7" s="82" t="s">
        <v>18</v>
      </c>
      <c r="AD7" s="83" t="s">
        <v>19</v>
      </c>
    </row>
    <row r="8" spans="4:30">
      <c r="D8" s="10"/>
      <c r="E8" s="49" t="s">
        <v>20</v>
      </c>
      <c r="F8" s="50">
        <f>F7+F6</f>
        <v>1290.99</v>
      </c>
      <c r="G8" s="12"/>
      <c r="H8" s="6"/>
      <c r="I8" s="22"/>
      <c r="J8" s="6" t="s">
        <v>21</v>
      </c>
      <c r="K8" s="8">
        <v>30.02</v>
      </c>
      <c r="L8" s="39"/>
      <c r="M8" s="4" t="s">
        <v>228</v>
      </c>
      <c r="N8" s="13">
        <v>500</v>
      </c>
      <c r="O8" s="4"/>
      <c r="P8" s="13"/>
      <c r="Q8" s="15"/>
      <c r="R8" s="6">
        <v>12.8</v>
      </c>
      <c r="S8" s="22" t="s">
        <v>209</v>
      </c>
      <c r="T8" s="13"/>
      <c r="U8" s="4" t="s">
        <v>299</v>
      </c>
      <c r="V8" s="6">
        <v>25</v>
      </c>
      <c r="W8" s="11" t="s">
        <v>218</v>
      </c>
      <c r="X8" s="6">
        <v>1.8</v>
      </c>
      <c r="Y8" s="7" t="s">
        <v>29</v>
      </c>
      <c r="Z8" s="12"/>
      <c r="AA8" s="6"/>
      <c r="AB8" s="4"/>
      <c r="AC8" s="82" t="s">
        <v>7</v>
      </c>
      <c r="AD8" s="83" t="s">
        <v>30</v>
      </c>
    </row>
    <row r="9" spans="4:30">
      <c r="D9" s="10"/>
      <c r="E9" s="51" t="s">
        <v>31</v>
      </c>
      <c r="F9" s="52">
        <f>K32</f>
        <v>24.529999999999973</v>
      </c>
      <c r="G9" s="12"/>
      <c r="H9" s="6"/>
      <c r="I9" s="240" t="s">
        <v>300</v>
      </c>
      <c r="J9" s="6" t="s">
        <v>220</v>
      </c>
      <c r="K9" s="8">
        <v>180</v>
      </c>
      <c r="L9" s="39" t="s">
        <v>301</v>
      </c>
      <c r="M9" s="4" t="s">
        <v>254</v>
      </c>
      <c r="N9" s="13">
        <v>50</v>
      </c>
      <c r="O9" s="4"/>
      <c r="P9" s="6"/>
      <c r="Q9" s="15"/>
      <c r="R9" s="6">
        <v>6</v>
      </c>
      <c r="S9" s="22" t="s">
        <v>302</v>
      </c>
      <c r="T9" s="13">
        <v>16</v>
      </c>
      <c r="U9" s="4" t="s">
        <v>303</v>
      </c>
      <c r="V9" s="6">
        <v>7</v>
      </c>
      <c r="W9" s="11" t="s">
        <v>304</v>
      </c>
      <c r="X9" s="6">
        <v>20</v>
      </c>
      <c r="Y9" s="7" t="s">
        <v>40</v>
      </c>
      <c r="Z9" s="12"/>
      <c r="AA9" s="6"/>
      <c r="AB9" s="4"/>
      <c r="AC9" s="84" t="s">
        <v>8</v>
      </c>
      <c r="AD9" s="85" t="s">
        <v>41</v>
      </c>
    </row>
    <row r="10" spans="4:30">
      <c r="D10" s="10"/>
      <c r="E10" s="4"/>
      <c r="F10" s="17"/>
      <c r="G10" s="12"/>
      <c r="H10" s="6"/>
      <c r="I10" s="240"/>
      <c r="J10" s="6" t="s">
        <v>243</v>
      </c>
      <c r="K10" s="8">
        <v>78</v>
      </c>
      <c r="L10" s="39"/>
      <c r="M10" s="4" t="s">
        <v>234</v>
      </c>
      <c r="N10" s="13">
        <v>34</v>
      </c>
      <c r="O10" s="6"/>
      <c r="P10" s="6"/>
      <c r="Q10" s="15"/>
      <c r="R10" s="6">
        <v>3.25</v>
      </c>
      <c r="S10" s="22"/>
      <c r="T10" s="13"/>
      <c r="U10" s="4"/>
      <c r="V10" s="6"/>
      <c r="W10" s="148" t="s">
        <v>305</v>
      </c>
      <c r="X10" s="149">
        <v>317</v>
      </c>
      <c r="Y10" s="7" t="s">
        <v>306</v>
      </c>
      <c r="Z10" s="12">
        <v>13</v>
      </c>
      <c r="AA10" s="6"/>
      <c r="AB10" s="4"/>
      <c r="AC10" s="84" t="s">
        <v>49</v>
      </c>
      <c r="AD10" s="85" t="s">
        <v>50</v>
      </c>
    </row>
    <row r="11" spans="4:30">
      <c r="D11" s="10"/>
      <c r="E11" s="4"/>
      <c r="F11" s="6"/>
      <c r="G11" s="12"/>
      <c r="H11" s="6"/>
      <c r="I11" s="241" t="s">
        <v>307</v>
      </c>
      <c r="J11" s="6" t="s">
        <v>220</v>
      </c>
      <c r="K11" s="8">
        <v>219</v>
      </c>
      <c r="L11" s="39"/>
      <c r="M11" s="4" t="s">
        <v>239</v>
      </c>
      <c r="N11" s="13">
        <v>20</v>
      </c>
      <c r="O11" s="6"/>
      <c r="P11" s="6"/>
      <c r="Q11" s="15"/>
      <c r="R11" s="23">
        <v>9.99</v>
      </c>
      <c r="S11" s="6"/>
      <c r="T11" s="13"/>
      <c r="U11" s="4"/>
      <c r="V11" s="6"/>
      <c r="W11" s="11" t="s">
        <v>218</v>
      </c>
      <c r="X11" s="6">
        <v>2.7</v>
      </c>
      <c r="Y11" s="7"/>
      <c r="Z11" s="12"/>
      <c r="AA11" s="6"/>
      <c r="AB11" s="4"/>
      <c r="AC11" s="84" t="s">
        <v>10</v>
      </c>
      <c r="AD11" s="85" t="s">
        <v>57</v>
      </c>
    </row>
    <row r="12" spans="4:30">
      <c r="D12" s="10"/>
      <c r="E12" s="199" t="s">
        <v>58</v>
      </c>
      <c r="F12" s="200"/>
      <c r="G12" s="12"/>
      <c r="H12" s="6"/>
      <c r="I12" s="241"/>
      <c r="J12" s="6" t="s">
        <v>243</v>
      </c>
      <c r="K12" s="8">
        <v>125</v>
      </c>
      <c r="L12" s="39"/>
      <c r="M12" s="4"/>
      <c r="N12" s="13"/>
      <c r="O12" s="6"/>
      <c r="P12" s="6"/>
      <c r="Q12" s="15"/>
      <c r="R12" s="23">
        <v>83</v>
      </c>
      <c r="S12" s="6"/>
      <c r="T12" s="13"/>
      <c r="U12" s="4"/>
      <c r="V12" s="6"/>
      <c r="W12" s="11" t="s">
        <v>218</v>
      </c>
      <c r="X12" s="6">
        <v>1.8</v>
      </c>
      <c r="Y12" s="7"/>
      <c r="Z12" s="12"/>
      <c r="AA12" s="6"/>
      <c r="AB12" s="4"/>
      <c r="AC12" s="122" t="s">
        <v>65</v>
      </c>
      <c r="AD12" s="123" t="s">
        <v>66</v>
      </c>
    </row>
    <row r="13" spans="4:30">
      <c r="D13" s="10"/>
      <c r="E13" s="53" t="s">
        <v>67</v>
      </c>
      <c r="F13" s="54">
        <v>0</v>
      </c>
      <c r="G13" s="75"/>
      <c r="H13" s="5"/>
      <c r="I13" s="241" t="s">
        <v>308</v>
      </c>
      <c r="J13" s="6" t="s">
        <v>271</v>
      </c>
      <c r="K13" s="8">
        <v>226</v>
      </c>
      <c r="L13" s="39"/>
      <c r="M13" s="4"/>
      <c r="N13" s="13"/>
      <c r="O13" s="6"/>
      <c r="P13" s="6"/>
      <c r="Q13" s="15"/>
      <c r="R13" s="6">
        <v>23.38</v>
      </c>
      <c r="S13" s="22"/>
      <c r="T13" s="13"/>
      <c r="U13" s="4"/>
      <c r="V13" s="6"/>
      <c r="W13" s="11" t="s">
        <v>218</v>
      </c>
      <c r="X13" s="6">
        <v>1.8</v>
      </c>
      <c r="Y13" s="7"/>
      <c r="Z13" s="12"/>
      <c r="AA13" s="6"/>
      <c r="AB13" s="4"/>
    </row>
    <row r="14" spans="4:30">
      <c r="D14" s="10"/>
      <c r="E14" s="53" t="s">
        <v>70</v>
      </c>
      <c r="F14" s="12">
        <v>0</v>
      </c>
      <c r="G14" s="76"/>
      <c r="H14" s="17"/>
      <c r="I14" s="241"/>
      <c r="J14" s="6" t="s">
        <v>272</v>
      </c>
      <c r="K14" s="16">
        <v>71.5</v>
      </c>
      <c r="L14" s="35"/>
      <c r="M14" s="4"/>
      <c r="N14" s="13"/>
      <c r="O14" s="6"/>
      <c r="P14" s="6"/>
      <c r="Q14" s="15"/>
      <c r="R14" s="6">
        <v>17</v>
      </c>
      <c r="S14" s="22"/>
      <c r="T14" s="13"/>
      <c r="U14" s="4"/>
      <c r="V14" s="6"/>
      <c r="W14" s="11" t="s">
        <v>309</v>
      </c>
      <c r="X14" s="6">
        <v>3.5</v>
      </c>
      <c r="Y14" s="7"/>
      <c r="Z14" s="12"/>
      <c r="AA14" s="6"/>
      <c r="AB14" s="4"/>
      <c r="AC14" s="4"/>
      <c r="AD14" s="4"/>
    </row>
    <row r="15" spans="4:30">
      <c r="D15" s="10"/>
      <c r="E15" s="67" t="s">
        <v>20</v>
      </c>
      <c r="F15" s="68">
        <f>SUM(F13:F14)</f>
        <v>0</v>
      </c>
      <c r="G15" s="77"/>
      <c r="H15" s="17"/>
      <c r="I15" s="242" t="s">
        <v>310</v>
      </c>
      <c r="J15" s="6" t="s">
        <v>271</v>
      </c>
      <c r="K15" s="16">
        <v>321</v>
      </c>
      <c r="L15" s="35"/>
      <c r="M15" s="4"/>
      <c r="N15" s="13"/>
      <c r="O15" s="6"/>
      <c r="P15" s="6"/>
      <c r="Q15" s="15"/>
      <c r="R15" s="6">
        <v>1.4</v>
      </c>
      <c r="S15" s="22"/>
      <c r="T15" s="13"/>
      <c r="U15" s="4"/>
      <c r="V15" s="6"/>
      <c r="W15" s="11" t="s">
        <v>218</v>
      </c>
      <c r="X15" s="6">
        <v>1.8</v>
      </c>
      <c r="Y15" s="7"/>
      <c r="Z15" s="12"/>
      <c r="AA15" s="6"/>
      <c r="AB15" s="4"/>
      <c r="AC15" s="4"/>
      <c r="AD15" s="4"/>
    </row>
    <row r="16" spans="4:30">
      <c r="D16" s="10"/>
      <c r="E16" s="69"/>
      <c r="F16" s="69"/>
      <c r="G16" s="76"/>
      <c r="H16" s="17"/>
      <c r="I16" s="242"/>
      <c r="J16" s="6" t="s">
        <v>272</v>
      </c>
      <c r="K16" s="16">
        <v>78</v>
      </c>
      <c r="L16" s="35"/>
      <c r="M16" s="4"/>
      <c r="N16" s="13"/>
      <c r="O16" s="6"/>
      <c r="P16" s="6"/>
      <c r="Q16" s="15"/>
      <c r="R16" s="6">
        <v>10</v>
      </c>
      <c r="S16" s="22"/>
      <c r="T16" s="13"/>
      <c r="U16" s="4"/>
      <c r="V16" s="6"/>
      <c r="W16" s="11" t="s">
        <v>311</v>
      </c>
      <c r="X16" s="6">
        <v>3.6</v>
      </c>
      <c r="Y16" s="7"/>
      <c r="Z16" s="12"/>
      <c r="AA16" s="6"/>
      <c r="AB16" s="4"/>
      <c r="AC16" s="4"/>
      <c r="AD16" s="4"/>
    </row>
    <row r="17" spans="4:30">
      <c r="D17" s="10"/>
      <c r="E17" s="199" t="s">
        <v>40</v>
      </c>
      <c r="F17" s="200"/>
      <c r="G17" s="76"/>
      <c r="H17" s="17"/>
      <c r="I17" s="38"/>
      <c r="J17" s="6"/>
      <c r="K17" s="8"/>
      <c r="L17" s="39"/>
      <c r="M17" s="4"/>
      <c r="N17" s="13"/>
      <c r="O17" s="6"/>
      <c r="P17" s="6"/>
      <c r="Q17" s="15"/>
      <c r="R17" s="6">
        <v>30</v>
      </c>
      <c r="S17" s="22"/>
      <c r="T17" s="13"/>
      <c r="U17" s="4"/>
      <c r="V17" s="6"/>
      <c r="W17" s="11" t="s">
        <v>311</v>
      </c>
      <c r="X17" s="6">
        <v>1.8</v>
      </c>
      <c r="Y17" s="7"/>
      <c r="Z17" s="12"/>
      <c r="AA17" s="6"/>
      <c r="AB17" s="4"/>
      <c r="AC17" s="4"/>
      <c r="AD17" s="4"/>
    </row>
    <row r="18" spans="4:30">
      <c r="D18" s="10"/>
      <c r="E18" s="53" t="s">
        <v>77</v>
      </c>
      <c r="F18" s="54"/>
      <c r="G18" s="12"/>
      <c r="H18" s="6"/>
      <c r="I18" s="22"/>
      <c r="J18" s="133"/>
      <c r="K18" s="18"/>
      <c r="L18" s="40"/>
      <c r="M18" s="4"/>
      <c r="N18" s="13"/>
      <c r="O18" s="6"/>
      <c r="P18" s="6"/>
      <c r="Q18" s="15"/>
      <c r="R18" s="6">
        <v>3.5</v>
      </c>
      <c r="S18" s="22"/>
      <c r="T18" s="13"/>
      <c r="U18" s="4"/>
      <c r="V18" s="6"/>
      <c r="W18" s="11" t="s">
        <v>311</v>
      </c>
      <c r="X18" s="6">
        <v>1.8</v>
      </c>
      <c r="Y18" s="7"/>
      <c r="Z18" s="12"/>
      <c r="AA18" s="6"/>
      <c r="AB18" s="4"/>
      <c r="AC18" s="4"/>
      <c r="AD18" s="4"/>
    </row>
    <row r="19" spans="4:30">
      <c r="D19" s="10"/>
      <c r="E19" s="53"/>
      <c r="F19" s="12"/>
      <c r="G19" s="75"/>
      <c r="H19" s="5"/>
      <c r="I19" s="37"/>
      <c r="J19" s="17"/>
      <c r="K19" s="16"/>
      <c r="L19" s="35"/>
      <c r="M19" s="4"/>
      <c r="N19" s="13"/>
      <c r="O19" s="6"/>
      <c r="P19" s="6"/>
      <c r="Q19" s="15"/>
      <c r="R19" s="6">
        <v>6</v>
      </c>
      <c r="S19" s="22"/>
      <c r="T19" s="13"/>
      <c r="U19" s="4"/>
      <c r="V19" s="6"/>
      <c r="W19" s="11" t="s">
        <v>312</v>
      </c>
      <c r="X19" s="16">
        <v>40</v>
      </c>
      <c r="Y19" s="28"/>
      <c r="Z19" s="19"/>
      <c r="AA19" s="16"/>
      <c r="AB19" s="4"/>
      <c r="AC19" s="4"/>
      <c r="AD19" s="4"/>
    </row>
    <row r="20" spans="4:30">
      <c r="D20" s="10"/>
      <c r="E20" s="56"/>
      <c r="F20" s="57"/>
      <c r="G20" s="76"/>
      <c r="H20" s="17"/>
      <c r="I20" s="38"/>
      <c r="J20" s="17"/>
      <c r="K20" s="16"/>
      <c r="L20" s="35"/>
      <c r="M20" s="4"/>
      <c r="N20" s="13"/>
      <c r="O20" s="6"/>
      <c r="P20" s="6"/>
      <c r="Q20" s="15"/>
      <c r="R20" s="6">
        <v>11.47</v>
      </c>
      <c r="S20" s="22"/>
      <c r="T20" s="13"/>
      <c r="U20" s="4"/>
      <c r="V20" s="6"/>
      <c r="W20" s="11" t="s">
        <v>311</v>
      </c>
      <c r="X20" s="6">
        <v>5</v>
      </c>
      <c r="Y20" s="7"/>
      <c r="Z20" s="12"/>
      <c r="AA20" s="6"/>
      <c r="AB20" s="4"/>
      <c r="AC20" s="4"/>
      <c r="AD20" s="4"/>
    </row>
    <row r="21" spans="4:30">
      <c r="D21" s="10"/>
      <c r="E21" s="58"/>
      <c r="F21" s="12"/>
      <c r="G21" s="76"/>
      <c r="H21" s="17"/>
      <c r="I21" s="38"/>
      <c r="J21" s="17"/>
      <c r="K21" s="16"/>
      <c r="L21" s="35"/>
      <c r="M21" s="4"/>
      <c r="N21" s="13"/>
      <c r="O21" s="6"/>
      <c r="P21" s="6"/>
      <c r="Q21" s="15" t="s">
        <v>313</v>
      </c>
      <c r="R21" s="6"/>
      <c r="S21" s="22"/>
      <c r="T21" s="13"/>
      <c r="U21" s="4"/>
      <c r="V21" s="6"/>
      <c r="W21" s="11" t="s">
        <v>311</v>
      </c>
      <c r="X21" s="6">
        <v>3.6</v>
      </c>
      <c r="Y21" s="7"/>
      <c r="Z21" s="12"/>
      <c r="AA21" s="6"/>
      <c r="AB21" s="4"/>
      <c r="AC21" s="4"/>
      <c r="AD21" s="4"/>
    </row>
    <row r="22" spans="4:30">
      <c r="D22" s="10"/>
      <c r="E22" s="58"/>
      <c r="F22" s="59"/>
      <c r="G22" s="76"/>
      <c r="H22" s="17"/>
      <c r="I22" s="38"/>
      <c r="J22" s="17"/>
      <c r="K22" s="16"/>
      <c r="L22" s="35"/>
      <c r="M22" s="4"/>
      <c r="N22" s="13"/>
      <c r="O22" s="6"/>
      <c r="P22" s="6"/>
      <c r="Q22" s="15"/>
      <c r="R22" s="6"/>
      <c r="S22" s="22"/>
      <c r="T22" s="13"/>
      <c r="U22" s="4"/>
      <c r="V22" s="6"/>
      <c r="W22" s="11"/>
      <c r="X22" s="6"/>
      <c r="Y22" s="7"/>
      <c r="Z22" s="12"/>
      <c r="AA22" s="6"/>
      <c r="AB22" s="4"/>
      <c r="AC22" s="4"/>
      <c r="AD22" s="4"/>
    </row>
    <row r="23" spans="4:30">
      <c r="D23" s="10"/>
      <c r="E23" s="60"/>
      <c r="F23" s="61"/>
      <c r="G23" s="76"/>
      <c r="H23" s="17"/>
      <c r="I23" s="38"/>
      <c r="J23" s="4"/>
      <c r="K23" s="14"/>
      <c r="L23" s="41"/>
      <c r="M23" s="4"/>
      <c r="N23" s="13"/>
      <c r="O23" s="6"/>
      <c r="P23" s="6"/>
      <c r="Q23" s="15"/>
      <c r="R23" s="6"/>
      <c r="S23" s="22"/>
      <c r="T23" s="13"/>
      <c r="U23" s="4"/>
      <c r="V23" s="6"/>
      <c r="W23" s="11"/>
      <c r="X23" s="6"/>
      <c r="Y23" s="7"/>
      <c r="Z23" s="12"/>
      <c r="AA23" s="6"/>
      <c r="AB23" s="4"/>
      <c r="AC23" s="4"/>
      <c r="AD23" s="4"/>
    </row>
    <row r="24" spans="4:30">
      <c r="D24" s="10"/>
      <c r="E24" s="67" t="s">
        <v>20</v>
      </c>
      <c r="F24" s="68">
        <f>SUM(F18:F23)</f>
        <v>0</v>
      </c>
      <c r="G24" s="76"/>
      <c r="H24" s="17"/>
      <c r="I24" s="38"/>
      <c r="J24" s="4"/>
      <c r="K24" s="14"/>
      <c r="L24" s="41"/>
      <c r="M24" s="4"/>
      <c r="N24" s="13"/>
      <c r="O24" s="6"/>
      <c r="P24" s="6"/>
      <c r="Q24" s="15"/>
      <c r="R24" s="6"/>
      <c r="S24" s="22"/>
      <c r="T24" s="13"/>
      <c r="U24" s="4"/>
      <c r="V24" s="6"/>
      <c r="W24" s="11"/>
      <c r="X24" s="6"/>
      <c r="Y24" s="7"/>
      <c r="Z24" s="12"/>
      <c r="AA24" s="6"/>
      <c r="AB24" s="4"/>
      <c r="AC24" s="4"/>
      <c r="AD24" s="4"/>
    </row>
    <row r="25" spans="4:30">
      <c r="D25" s="10"/>
      <c r="E25" s="69"/>
      <c r="F25" s="69"/>
      <c r="G25" s="76"/>
      <c r="H25" s="17"/>
      <c r="I25" s="38"/>
      <c r="J25" s="97" t="s">
        <v>20</v>
      </c>
      <c r="K25" s="20">
        <f>SUM(K8:K24)</f>
        <v>1328.52</v>
      </c>
      <c r="L25" s="41"/>
      <c r="M25" s="4"/>
      <c r="N25" s="13"/>
      <c r="O25" s="6"/>
      <c r="P25" s="6"/>
      <c r="Q25" s="15"/>
      <c r="R25" s="6"/>
      <c r="S25" s="22"/>
      <c r="T25" s="13"/>
      <c r="U25" s="4"/>
      <c r="V25" s="6"/>
      <c r="W25" s="11"/>
      <c r="X25" s="6"/>
      <c r="Y25" s="7"/>
      <c r="Z25" s="12"/>
      <c r="AA25" s="6"/>
      <c r="AB25" s="4"/>
      <c r="AC25" s="4"/>
      <c r="AD25" s="4"/>
    </row>
    <row r="26" spans="4:30">
      <c r="D26" s="10"/>
      <c r="E26" s="199" t="s">
        <v>78</v>
      </c>
      <c r="F26" s="200"/>
      <c r="G26" s="55"/>
      <c r="H26" s="4"/>
      <c r="I26" s="21"/>
      <c r="J26" s="4" t="s">
        <v>79</v>
      </c>
      <c r="K26" s="8">
        <v>0</v>
      </c>
      <c r="L26" s="41"/>
      <c r="M26" s="4"/>
      <c r="N26" s="13"/>
      <c r="O26" s="6"/>
      <c r="P26" s="6"/>
      <c r="Q26" s="15"/>
      <c r="R26" s="6"/>
      <c r="S26" s="22"/>
      <c r="T26" s="13"/>
      <c r="U26" s="4"/>
      <c r="V26" s="6"/>
      <c r="W26" s="11" t="s">
        <v>122</v>
      </c>
      <c r="X26" s="6">
        <v>8</v>
      </c>
      <c r="Y26" s="7"/>
      <c r="Z26" s="12"/>
      <c r="AA26" s="6"/>
      <c r="AB26" s="4"/>
      <c r="AC26" s="6"/>
      <c r="AD26" s="4"/>
    </row>
    <row r="27" spans="4:30">
      <c r="D27" s="10"/>
      <c r="E27" s="53" t="s">
        <v>67</v>
      </c>
      <c r="F27" s="54"/>
      <c r="G27" s="55"/>
      <c r="H27" s="4"/>
      <c r="I27" s="21"/>
      <c r="J27" s="4" t="s">
        <v>80</v>
      </c>
      <c r="K27" s="8">
        <v>0</v>
      </c>
      <c r="L27" s="39"/>
      <c r="M27" s="4"/>
      <c r="N27" s="13"/>
      <c r="O27" s="6"/>
      <c r="P27" s="6"/>
      <c r="Q27" s="15"/>
      <c r="R27" s="6"/>
      <c r="S27" s="22"/>
      <c r="T27" s="13"/>
      <c r="U27" s="4"/>
      <c r="V27" s="6"/>
      <c r="W27" s="145" t="s">
        <v>314</v>
      </c>
      <c r="X27" s="146">
        <v>2</v>
      </c>
      <c r="Y27" s="7"/>
      <c r="Z27" s="12"/>
      <c r="AA27" s="6"/>
      <c r="AB27" s="4"/>
      <c r="AC27" s="4"/>
      <c r="AD27" s="4"/>
    </row>
    <row r="28" spans="4:30">
      <c r="D28" s="10"/>
      <c r="E28" s="53" t="s">
        <v>70</v>
      </c>
      <c r="F28" s="12"/>
      <c r="G28" s="55"/>
      <c r="H28" s="4"/>
      <c r="I28" s="21"/>
      <c r="J28" s="124" t="s">
        <v>11</v>
      </c>
      <c r="K28" s="125">
        <f>Y31</f>
        <v>13</v>
      </c>
      <c r="L28" s="39"/>
      <c r="M28" s="4"/>
      <c r="N28" s="13"/>
      <c r="O28" s="6"/>
      <c r="P28" s="6"/>
      <c r="Q28" s="15"/>
      <c r="R28" s="6"/>
      <c r="S28" s="22"/>
      <c r="T28" s="13"/>
      <c r="U28" s="4"/>
      <c r="V28" s="6"/>
      <c r="W28" s="11" t="s">
        <v>315</v>
      </c>
      <c r="X28" s="6">
        <v>5</v>
      </c>
      <c r="Y28" s="7"/>
      <c r="Z28" s="12"/>
      <c r="AA28" s="6"/>
      <c r="AB28" s="4"/>
      <c r="AC28" s="4"/>
      <c r="AD28" s="4"/>
    </row>
    <row r="29" spans="4:30">
      <c r="D29" s="10"/>
      <c r="E29" s="56"/>
      <c r="F29" s="57"/>
      <c r="G29" s="55"/>
      <c r="H29" s="4"/>
      <c r="I29" s="21"/>
      <c r="J29" s="4" t="s">
        <v>81</v>
      </c>
      <c r="K29" s="8">
        <v>0</v>
      </c>
      <c r="L29" s="39"/>
      <c r="M29" s="4"/>
      <c r="N29" s="13"/>
      <c r="O29" s="6"/>
      <c r="P29" s="6"/>
      <c r="Q29" s="15"/>
      <c r="R29" s="6"/>
      <c r="S29" s="22"/>
      <c r="T29" s="13"/>
      <c r="U29" s="4"/>
      <c r="V29" s="6"/>
      <c r="W29" s="11"/>
      <c r="X29" s="6"/>
      <c r="Y29" s="7"/>
      <c r="Z29" s="12"/>
      <c r="AA29" s="6"/>
      <c r="AB29" s="4"/>
    </row>
    <row r="30" spans="4:30">
      <c r="D30" s="10"/>
      <c r="E30" s="58"/>
      <c r="F30" s="12"/>
      <c r="G30" s="55"/>
      <c r="H30" s="4"/>
      <c r="I30" s="21"/>
      <c r="J30" s="4" t="s">
        <v>82</v>
      </c>
      <c r="K30" s="8">
        <v>0</v>
      </c>
      <c r="L30" s="39"/>
      <c r="M30" s="4"/>
      <c r="N30" s="13"/>
      <c r="O30" s="6"/>
      <c r="P30" s="6"/>
      <c r="Q30" s="15"/>
      <c r="R30" s="6"/>
      <c r="S30" s="22"/>
      <c r="T30" s="13"/>
      <c r="U30" s="4"/>
      <c r="V30" s="6"/>
      <c r="W30" s="11"/>
      <c r="X30" s="6"/>
      <c r="Y30" s="7"/>
      <c r="Z30" s="12"/>
      <c r="AA30" s="6"/>
      <c r="AB30" s="4"/>
    </row>
    <row r="31" spans="4:30">
      <c r="D31" s="10"/>
      <c r="E31" s="58"/>
      <c r="F31" s="59"/>
      <c r="G31" s="55"/>
      <c r="H31" s="4"/>
      <c r="I31" s="208" t="s">
        <v>83</v>
      </c>
      <c r="J31" s="209"/>
      <c r="K31" s="81">
        <f>K25-K26-K27-K28-K29-K30</f>
        <v>1315.52</v>
      </c>
      <c r="L31" s="210">
        <f>SUM(N8:N30)</f>
        <v>604</v>
      </c>
      <c r="M31" s="211"/>
      <c r="N31" s="212"/>
      <c r="O31" s="213">
        <f>SUM(P8:P30)</f>
        <v>0</v>
      </c>
      <c r="P31" s="214"/>
      <c r="Q31" s="201">
        <f>SUM(R8:R30)</f>
        <v>217.79</v>
      </c>
      <c r="R31" s="202"/>
      <c r="S31" s="203">
        <f>SUM(T8:T30)</f>
        <v>16</v>
      </c>
      <c r="T31" s="204"/>
      <c r="U31" s="205">
        <f>SUM(V8:V30)</f>
        <v>32</v>
      </c>
      <c r="V31" s="206"/>
      <c r="W31" s="205">
        <f>SUM(X8:X30)</f>
        <v>421.2000000000001</v>
      </c>
      <c r="X31" s="207"/>
      <c r="Y31" s="189">
        <f>SUM(Z8:Z30)</f>
        <v>13</v>
      </c>
      <c r="Z31" s="190"/>
      <c r="AA31" s="6"/>
      <c r="AB31" s="4"/>
    </row>
    <row r="32" spans="4:30">
      <c r="D32" s="10"/>
      <c r="E32" s="60"/>
      <c r="F32" s="61"/>
      <c r="G32" s="55"/>
      <c r="H32" s="4"/>
      <c r="I32" s="184" t="s">
        <v>31</v>
      </c>
      <c r="J32" s="185"/>
      <c r="K32" s="43">
        <f>K31-L33</f>
        <v>24.529999999999973</v>
      </c>
      <c r="L32" s="186">
        <f>SUM(L31:R31)</f>
        <v>821.79</v>
      </c>
      <c r="M32" s="187"/>
      <c r="N32" s="187"/>
      <c r="O32" s="187"/>
      <c r="P32" s="187"/>
      <c r="Q32" s="187"/>
      <c r="R32" s="188"/>
      <c r="S32" s="193">
        <f>S31+U31+W31</f>
        <v>469.2000000000001</v>
      </c>
      <c r="T32" s="194"/>
      <c r="U32" s="194"/>
      <c r="V32" s="194"/>
      <c r="W32" s="194"/>
      <c r="X32" s="195"/>
      <c r="Y32" s="189"/>
      <c r="Z32" s="190"/>
      <c r="AA32" s="6"/>
      <c r="AB32" s="4"/>
    </row>
    <row r="33" spans="4:28" ht="18.75">
      <c r="D33" s="10"/>
      <c r="E33" s="67" t="s">
        <v>20</v>
      </c>
      <c r="F33" s="68">
        <f>SUM(F27:F32)</f>
        <v>0</v>
      </c>
      <c r="G33" s="55"/>
      <c r="H33" s="4"/>
      <c r="I33" s="4"/>
      <c r="J33" s="6"/>
      <c r="K33" s="8"/>
      <c r="L33" s="196">
        <f>L32+S32</f>
        <v>1290.99</v>
      </c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8"/>
      <c r="Y33" s="191"/>
      <c r="Z33" s="192"/>
      <c r="AA33" s="6"/>
      <c r="AB33" s="4"/>
    </row>
    <row r="34" spans="4:28">
      <c r="D34" s="10"/>
      <c r="E34" s="70"/>
      <c r="F34" s="70"/>
      <c r="G34" s="5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4:28">
      <c r="D35" s="1"/>
      <c r="E35" s="180" t="s">
        <v>84</v>
      </c>
      <c r="F35" s="181"/>
      <c r="G35" s="2"/>
    </row>
    <row r="36" spans="4:28">
      <c r="D36" s="1"/>
      <c r="E36" s="182" t="s">
        <v>85</v>
      </c>
      <c r="F36" s="183"/>
      <c r="G36" s="2"/>
    </row>
    <row r="37" spans="4:28">
      <c r="D37" s="1"/>
      <c r="E37" s="60" t="s">
        <v>67</v>
      </c>
      <c r="F37" s="62">
        <v>0</v>
      </c>
      <c r="G37" s="2"/>
      <c r="Q37" s="147"/>
    </row>
    <row r="38" spans="4:28">
      <c r="D38" s="1"/>
      <c r="E38" s="60" t="s">
        <v>70</v>
      </c>
      <c r="F38" s="62">
        <f>K29</f>
        <v>0</v>
      </c>
      <c r="G38" s="2"/>
      <c r="Q38" s="132"/>
      <c r="R38" s="147"/>
    </row>
    <row r="39" spans="4:28">
      <c r="D39" s="1"/>
      <c r="E39" s="65" t="s">
        <v>20</v>
      </c>
      <c r="F39" s="66">
        <f>SUM(F37:F38)</f>
        <v>0</v>
      </c>
      <c r="G39" s="2"/>
      <c r="Q39" s="132"/>
      <c r="R39" s="147"/>
    </row>
    <row r="40" spans="4:28">
      <c r="D40" s="1"/>
      <c r="E40" s="182" t="s">
        <v>86</v>
      </c>
      <c r="F40" s="183"/>
      <c r="G40" s="2"/>
      <c r="P40" s="132"/>
      <c r="Q40" s="132"/>
    </row>
    <row r="41" spans="4:28">
      <c r="D41" s="1"/>
      <c r="E41" s="60" t="s">
        <v>67</v>
      </c>
      <c r="F41" s="62">
        <v>0</v>
      </c>
      <c r="G41" s="2"/>
      <c r="Q41" s="147"/>
    </row>
    <row r="42" spans="4:28">
      <c r="D42" s="1"/>
      <c r="E42" s="60" t="s">
        <v>70</v>
      </c>
      <c r="F42" s="62">
        <f>K30</f>
        <v>0</v>
      </c>
      <c r="G42" s="2"/>
      <c r="Q42" s="132"/>
    </row>
    <row r="43" spans="4:28">
      <c r="D43" s="1"/>
      <c r="E43" s="65" t="s">
        <v>20</v>
      </c>
      <c r="F43" s="66">
        <f>SUM(F41:F42)</f>
        <v>0</v>
      </c>
      <c r="G43" s="2"/>
    </row>
    <row r="44" spans="4:28">
      <c r="D44" s="1"/>
      <c r="E44" s="63" t="s">
        <v>20</v>
      </c>
      <c r="F44" s="64">
        <f>F43+F39</f>
        <v>0</v>
      </c>
      <c r="G44" s="2"/>
    </row>
    <row r="45" spans="4:28">
      <c r="D45" s="78"/>
      <c r="E45" s="79"/>
      <c r="F45" s="79"/>
      <c r="G45" s="80"/>
    </row>
  </sheetData>
  <mergeCells count="33">
    <mergeCell ref="E5:F5"/>
    <mergeCell ref="I5:Z5"/>
    <mergeCell ref="AC5:AD5"/>
    <mergeCell ref="I6:K6"/>
    <mergeCell ref="L6:N6"/>
    <mergeCell ref="O6:P6"/>
    <mergeCell ref="Q6:R6"/>
    <mergeCell ref="S6:T6"/>
    <mergeCell ref="U6:V6"/>
    <mergeCell ref="W6:X6"/>
    <mergeCell ref="Y6:Z6"/>
    <mergeCell ref="E40:F40"/>
    <mergeCell ref="W31:X31"/>
    <mergeCell ref="Y31:Z33"/>
    <mergeCell ref="I32:J32"/>
    <mergeCell ref="L32:R32"/>
    <mergeCell ref="S32:X32"/>
    <mergeCell ref="L33:X33"/>
    <mergeCell ref="O31:P31"/>
    <mergeCell ref="Q31:R31"/>
    <mergeCell ref="S31:T31"/>
    <mergeCell ref="U31:V31"/>
    <mergeCell ref="E35:F35"/>
    <mergeCell ref="I31:J31"/>
    <mergeCell ref="L31:N31"/>
    <mergeCell ref="I9:I10"/>
    <mergeCell ref="I11:I12"/>
    <mergeCell ref="I13:I14"/>
    <mergeCell ref="I15:I16"/>
    <mergeCell ref="E36:F36"/>
    <mergeCell ref="E12:F12"/>
    <mergeCell ref="E17:F17"/>
    <mergeCell ref="E26:F2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905D9-96CB-4298-A96A-AF0739A537E7}">
  <sheetPr>
    <tabColor theme="9" tint="-0.249977111117893"/>
  </sheetPr>
  <dimension ref="D4:AD45"/>
  <sheetViews>
    <sheetView topLeftCell="L4" workbookViewId="0">
      <selection activeCell="U26" sqref="U26"/>
    </sheetView>
  </sheetViews>
  <sheetFormatPr defaultRowHeight="15.75"/>
  <cols>
    <col min="5" max="5" width="20.125" customWidth="1"/>
    <col min="10" max="10" width="19.25" customWidth="1"/>
    <col min="11" max="11" width="10.5" customWidth="1"/>
    <col min="13" max="13" width="25.625" customWidth="1"/>
    <col min="14" max="14" width="10.375" bestFit="1" customWidth="1"/>
    <col min="15" max="15" width="15" customWidth="1"/>
    <col min="17" max="17" width="14.125" customWidth="1"/>
    <col min="18" max="18" width="15.5" customWidth="1"/>
    <col min="19" max="19" width="13" customWidth="1"/>
    <col min="21" max="21" width="17.125" customWidth="1"/>
    <col min="23" max="23" width="16.375" customWidth="1"/>
    <col min="25" max="25" width="20.75" customWidth="1"/>
    <col min="29" max="29" width="32.25" customWidth="1"/>
    <col min="30" max="30" width="78.625" customWidth="1"/>
  </cols>
  <sheetData>
    <row r="4" spans="4:30">
      <c r="D4" s="71"/>
      <c r="E4" s="72"/>
      <c r="F4" s="72"/>
      <c r="G4" s="7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4:30" ht="21">
      <c r="D5" s="10"/>
      <c r="E5" s="215" t="s">
        <v>0</v>
      </c>
      <c r="F5" s="216"/>
      <c r="G5" s="74"/>
      <c r="H5" s="3"/>
      <c r="I5" s="217" t="s">
        <v>316</v>
      </c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9"/>
      <c r="AA5" s="33"/>
      <c r="AB5" s="4"/>
      <c r="AC5" s="220" t="s">
        <v>2</v>
      </c>
      <c r="AD5" s="221"/>
    </row>
    <row r="6" spans="4:30">
      <c r="D6" s="10"/>
      <c r="E6" s="45" t="s">
        <v>3</v>
      </c>
      <c r="F6" s="46">
        <f>L32</f>
        <v>1049.44</v>
      </c>
      <c r="G6" s="75"/>
      <c r="H6" s="5"/>
      <c r="I6" s="222" t="s">
        <v>4</v>
      </c>
      <c r="J6" s="223"/>
      <c r="K6" s="224"/>
      <c r="L6" s="225" t="s">
        <v>5</v>
      </c>
      <c r="M6" s="226"/>
      <c r="N6" s="227"/>
      <c r="O6" s="228" t="s">
        <v>6</v>
      </c>
      <c r="P6" s="229"/>
      <c r="Q6" s="230" t="s">
        <v>7</v>
      </c>
      <c r="R6" s="231"/>
      <c r="S6" s="232" t="s">
        <v>8</v>
      </c>
      <c r="T6" s="233"/>
      <c r="U6" s="234" t="s">
        <v>9</v>
      </c>
      <c r="V6" s="235"/>
      <c r="W6" s="236" t="s">
        <v>10</v>
      </c>
      <c r="X6" s="235"/>
      <c r="Y6" s="237" t="s">
        <v>11</v>
      </c>
      <c r="Z6" s="238"/>
      <c r="AA6" s="5"/>
      <c r="AB6" s="4"/>
      <c r="AC6" s="82" t="s">
        <v>5</v>
      </c>
      <c r="AD6" s="83" t="s">
        <v>12</v>
      </c>
    </row>
    <row r="7" spans="4:30">
      <c r="D7" s="10"/>
      <c r="E7" s="47" t="s">
        <v>13</v>
      </c>
      <c r="F7" s="48">
        <f>S32</f>
        <v>459.09000000000003</v>
      </c>
      <c r="G7" s="12"/>
      <c r="H7" s="6"/>
      <c r="I7" s="89" t="s">
        <v>14</v>
      </c>
      <c r="J7" s="36" t="s">
        <v>15</v>
      </c>
      <c r="K7" s="36" t="s">
        <v>16</v>
      </c>
      <c r="L7" s="86" t="s">
        <v>14</v>
      </c>
      <c r="M7" s="34" t="s">
        <v>17</v>
      </c>
      <c r="N7" s="87" t="s">
        <v>16</v>
      </c>
      <c r="O7" s="34" t="s">
        <v>17</v>
      </c>
      <c r="P7" s="34" t="s">
        <v>16</v>
      </c>
      <c r="Q7" s="9" t="s">
        <v>17</v>
      </c>
      <c r="R7" s="34" t="s">
        <v>16</v>
      </c>
      <c r="S7" s="88" t="s">
        <v>17</v>
      </c>
      <c r="T7" s="87" t="s">
        <v>16</v>
      </c>
      <c r="U7" s="34" t="s">
        <v>17</v>
      </c>
      <c r="V7" s="34" t="s">
        <v>16</v>
      </c>
      <c r="W7" s="9" t="s">
        <v>17</v>
      </c>
      <c r="X7" s="34" t="s">
        <v>16</v>
      </c>
      <c r="Y7" s="111" t="s">
        <v>17</v>
      </c>
      <c r="Z7" s="112" t="s">
        <v>16</v>
      </c>
      <c r="AA7" s="34"/>
      <c r="AB7" s="4"/>
      <c r="AC7" s="82" t="s">
        <v>18</v>
      </c>
      <c r="AD7" s="83" t="s">
        <v>19</v>
      </c>
    </row>
    <row r="8" spans="4:30">
      <c r="D8" s="10"/>
      <c r="E8" s="49" t="s">
        <v>20</v>
      </c>
      <c r="F8" s="50">
        <f>F7+F6</f>
        <v>1508.5300000000002</v>
      </c>
      <c r="G8" s="12"/>
      <c r="H8" s="6"/>
      <c r="I8" s="22"/>
      <c r="J8" s="6" t="s">
        <v>21</v>
      </c>
      <c r="K8" s="8">
        <v>24.8</v>
      </c>
      <c r="L8" s="39"/>
      <c r="M8" s="4" t="s">
        <v>228</v>
      </c>
      <c r="N8" s="13">
        <v>500</v>
      </c>
      <c r="O8" s="4"/>
      <c r="P8" s="13">
        <v>3.5</v>
      </c>
      <c r="Q8" s="15" t="s">
        <v>313</v>
      </c>
      <c r="R8" s="6">
        <v>42.5</v>
      </c>
      <c r="S8" s="22" t="s">
        <v>317</v>
      </c>
      <c r="T8" s="13">
        <v>25</v>
      </c>
      <c r="U8" s="4"/>
      <c r="V8" s="6"/>
      <c r="W8" s="11"/>
      <c r="X8" s="6"/>
      <c r="Y8" s="7" t="s">
        <v>318</v>
      </c>
      <c r="Z8" s="12">
        <v>9</v>
      </c>
      <c r="AA8" s="6"/>
      <c r="AB8" s="4"/>
      <c r="AC8" s="82" t="s">
        <v>7</v>
      </c>
      <c r="AD8" s="83" t="s">
        <v>30</v>
      </c>
    </row>
    <row r="9" spans="4:30">
      <c r="D9" s="10"/>
      <c r="E9" s="51" t="s">
        <v>31</v>
      </c>
      <c r="F9" s="52">
        <f>K32</f>
        <v>96.269999999999754</v>
      </c>
      <c r="G9" s="12"/>
      <c r="H9" s="6"/>
      <c r="I9" s="240" t="s">
        <v>310</v>
      </c>
      <c r="J9" s="6" t="s">
        <v>220</v>
      </c>
      <c r="K9" s="8">
        <v>363</v>
      </c>
      <c r="L9" s="39"/>
      <c r="M9" s="4" t="s">
        <v>319</v>
      </c>
      <c r="N9" s="13"/>
      <c r="O9" s="4" t="s">
        <v>320</v>
      </c>
      <c r="P9" s="6">
        <v>20</v>
      </c>
      <c r="Q9" s="15"/>
      <c r="R9" s="6">
        <v>2.69</v>
      </c>
      <c r="S9" s="22" t="s">
        <v>321</v>
      </c>
      <c r="T9" s="13">
        <v>10.1</v>
      </c>
      <c r="U9" s="4" t="s">
        <v>322</v>
      </c>
      <c r="V9" s="6">
        <v>3.99</v>
      </c>
      <c r="W9" s="11" t="s">
        <v>323</v>
      </c>
      <c r="X9" s="6">
        <v>2</v>
      </c>
      <c r="Y9" s="7" t="s">
        <v>324</v>
      </c>
      <c r="Z9" s="12"/>
      <c r="AA9" s="6"/>
      <c r="AB9" s="4"/>
      <c r="AC9" s="84" t="s">
        <v>8</v>
      </c>
      <c r="AD9" s="85" t="s">
        <v>41</v>
      </c>
    </row>
    <row r="10" spans="4:30">
      <c r="D10" s="10"/>
      <c r="E10" s="4"/>
      <c r="F10" s="17"/>
      <c r="G10" s="12"/>
      <c r="H10" s="6"/>
      <c r="I10" s="240"/>
      <c r="J10" s="6" t="s">
        <v>243</v>
      </c>
      <c r="K10" s="8">
        <v>78</v>
      </c>
      <c r="L10" s="39"/>
      <c r="M10" s="4" t="s">
        <v>234</v>
      </c>
      <c r="N10" s="13">
        <v>34</v>
      </c>
      <c r="O10" s="141" t="s">
        <v>259</v>
      </c>
      <c r="P10" s="141">
        <v>12.53</v>
      </c>
      <c r="Q10" s="15"/>
      <c r="R10" s="6">
        <v>3.75</v>
      </c>
      <c r="S10" s="22" t="s">
        <v>325</v>
      </c>
      <c r="T10" s="13">
        <v>10</v>
      </c>
      <c r="U10" s="4" t="s">
        <v>326</v>
      </c>
      <c r="V10" s="6">
        <v>42</v>
      </c>
      <c r="W10" s="11" t="s">
        <v>218</v>
      </c>
      <c r="X10" s="6">
        <v>0.9</v>
      </c>
      <c r="Y10" s="7"/>
      <c r="Z10" s="12"/>
      <c r="AA10" s="6"/>
      <c r="AB10" s="4"/>
      <c r="AC10" s="84" t="s">
        <v>49</v>
      </c>
      <c r="AD10" s="85" t="s">
        <v>50</v>
      </c>
    </row>
    <row r="11" spans="4:30">
      <c r="D11" s="10"/>
      <c r="E11" s="4"/>
      <c r="F11" s="6"/>
      <c r="G11" s="12"/>
      <c r="H11" s="6"/>
      <c r="I11" s="241" t="s">
        <v>327</v>
      </c>
      <c r="J11" s="6" t="s">
        <v>220</v>
      </c>
      <c r="K11" s="8">
        <v>334</v>
      </c>
      <c r="L11" s="39"/>
      <c r="M11" s="4" t="s">
        <v>239</v>
      </c>
      <c r="N11" s="13">
        <v>20</v>
      </c>
      <c r="O11" s="141" t="s">
        <v>328</v>
      </c>
      <c r="P11" s="141">
        <v>5.12</v>
      </c>
      <c r="Q11" s="15"/>
      <c r="R11" s="23">
        <v>7.08</v>
      </c>
      <c r="S11" s="6" t="s">
        <v>329</v>
      </c>
      <c r="T11" s="13">
        <v>23</v>
      </c>
      <c r="U11" s="4" t="s">
        <v>330</v>
      </c>
      <c r="V11" s="6">
        <v>4</v>
      </c>
      <c r="W11" s="11" t="s">
        <v>218</v>
      </c>
      <c r="X11" s="6">
        <v>0.9</v>
      </c>
      <c r="Y11" s="7"/>
      <c r="Z11" s="12"/>
      <c r="AA11" s="6"/>
      <c r="AB11" s="4"/>
      <c r="AC11" s="84" t="s">
        <v>10</v>
      </c>
      <c r="AD11" s="85" t="s">
        <v>57</v>
      </c>
    </row>
    <row r="12" spans="4:30">
      <c r="D12" s="10"/>
      <c r="E12" s="199" t="s">
        <v>58</v>
      </c>
      <c r="F12" s="200"/>
      <c r="G12" s="12"/>
      <c r="H12" s="6"/>
      <c r="I12" s="241"/>
      <c r="J12" s="6" t="s">
        <v>243</v>
      </c>
      <c r="K12" s="8">
        <v>20</v>
      </c>
      <c r="L12" s="39"/>
      <c r="M12" s="4"/>
      <c r="N12" s="13"/>
      <c r="O12" s="141" t="s">
        <v>259</v>
      </c>
      <c r="P12" s="141">
        <v>66.290000000000006</v>
      </c>
      <c r="Q12" s="150" t="s">
        <v>331</v>
      </c>
      <c r="R12" s="139">
        <v>15.56</v>
      </c>
      <c r="S12" s="6" t="s">
        <v>209</v>
      </c>
      <c r="T12" s="13">
        <v>25</v>
      </c>
      <c r="U12" s="4"/>
      <c r="V12" s="6"/>
      <c r="W12" s="11" t="s">
        <v>218</v>
      </c>
      <c r="X12" s="6">
        <v>2.7</v>
      </c>
      <c r="Y12" s="7"/>
      <c r="Z12" s="12"/>
      <c r="AA12" s="6"/>
      <c r="AB12" s="4"/>
      <c r="AC12" s="122" t="s">
        <v>65</v>
      </c>
      <c r="AD12" s="123" t="s">
        <v>66</v>
      </c>
    </row>
    <row r="13" spans="4:30">
      <c r="D13" s="10"/>
      <c r="E13" s="53" t="s">
        <v>67</v>
      </c>
      <c r="F13" s="54">
        <v>0</v>
      </c>
      <c r="G13" s="75"/>
      <c r="H13" s="5"/>
      <c r="I13" s="241" t="s">
        <v>332</v>
      </c>
      <c r="J13" s="6" t="s">
        <v>271</v>
      </c>
      <c r="K13" s="8">
        <v>406</v>
      </c>
      <c r="L13" s="39"/>
      <c r="M13" s="4"/>
      <c r="N13" s="13"/>
      <c r="O13" s="6" t="s">
        <v>259</v>
      </c>
      <c r="P13" s="6">
        <v>25.02</v>
      </c>
      <c r="Q13" s="150" t="s">
        <v>333</v>
      </c>
      <c r="R13" s="141">
        <v>15.54</v>
      </c>
      <c r="S13" s="22" t="s">
        <v>334</v>
      </c>
      <c r="T13" s="13">
        <v>39</v>
      </c>
      <c r="U13" s="4"/>
      <c r="V13" s="6"/>
      <c r="W13" s="11" t="s">
        <v>311</v>
      </c>
      <c r="X13" s="6">
        <v>3.6</v>
      </c>
      <c r="Y13" s="7"/>
      <c r="Z13" s="12"/>
      <c r="AA13" s="6"/>
      <c r="AB13" s="4"/>
    </row>
    <row r="14" spans="4:30">
      <c r="D14" s="10"/>
      <c r="E14" s="53" t="s">
        <v>70</v>
      </c>
      <c r="F14" s="12">
        <v>0</v>
      </c>
      <c r="G14" s="76"/>
      <c r="H14" s="17"/>
      <c r="I14" s="241"/>
      <c r="J14" s="6" t="s">
        <v>272</v>
      </c>
      <c r="K14" s="16">
        <v>0</v>
      </c>
      <c r="L14" s="35"/>
      <c r="M14" s="4"/>
      <c r="N14" s="13"/>
      <c r="O14" s="6" t="s">
        <v>259</v>
      </c>
      <c r="P14" s="6">
        <v>27.39</v>
      </c>
      <c r="Q14" s="150" t="s">
        <v>333</v>
      </c>
      <c r="R14" s="141">
        <v>10</v>
      </c>
      <c r="S14" s="22" t="s">
        <v>335</v>
      </c>
      <c r="T14" s="13">
        <v>12</v>
      </c>
      <c r="U14" s="4"/>
      <c r="V14" s="6"/>
      <c r="W14" s="11" t="s">
        <v>311</v>
      </c>
      <c r="X14" s="6">
        <v>2.7</v>
      </c>
      <c r="Y14" s="7"/>
      <c r="Z14" s="12"/>
      <c r="AA14" s="6"/>
      <c r="AB14" s="4"/>
      <c r="AC14" s="4"/>
      <c r="AD14" s="4"/>
    </row>
    <row r="15" spans="4:30">
      <c r="D15" s="10"/>
      <c r="E15" s="67" t="s">
        <v>20</v>
      </c>
      <c r="F15" s="68">
        <f>SUM(F13:F14)</f>
        <v>0</v>
      </c>
      <c r="G15" s="77"/>
      <c r="H15" s="17"/>
      <c r="I15" s="242" t="s">
        <v>336</v>
      </c>
      <c r="J15" s="6" t="s">
        <v>271</v>
      </c>
      <c r="K15" s="16">
        <v>19</v>
      </c>
      <c r="L15" s="35"/>
      <c r="M15" s="4"/>
      <c r="N15" s="13"/>
      <c r="O15" s="6" t="s">
        <v>268</v>
      </c>
      <c r="P15" s="6">
        <v>9.5</v>
      </c>
      <c r="Q15" s="15"/>
      <c r="R15" s="6">
        <v>3.5</v>
      </c>
      <c r="S15" s="22"/>
      <c r="T15" s="13"/>
      <c r="U15" s="4"/>
      <c r="V15" s="6"/>
      <c r="W15" s="11" t="s">
        <v>311</v>
      </c>
      <c r="X15" s="6">
        <v>2.7</v>
      </c>
      <c r="Y15" s="7"/>
      <c r="Z15" s="12"/>
      <c r="AA15" s="6"/>
      <c r="AB15" s="4"/>
      <c r="AC15" s="4"/>
      <c r="AD15" s="4"/>
    </row>
    <row r="16" spans="4:30">
      <c r="D16" s="10"/>
      <c r="E16" s="69"/>
      <c r="F16" s="69"/>
      <c r="G16" s="76"/>
      <c r="H16" s="17"/>
      <c r="I16" s="242"/>
      <c r="J16" s="6" t="s">
        <v>272</v>
      </c>
      <c r="K16" s="16">
        <v>0</v>
      </c>
      <c r="L16" s="35"/>
      <c r="M16" s="4"/>
      <c r="N16" s="13"/>
      <c r="O16" s="6" t="s">
        <v>337</v>
      </c>
      <c r="P16" s="6">
        <v>13</v>
      </c>
      <c r="Q16" s="15"/>
      <c r="R16" s="6">
        <v>20</v>
      </c>
      <c r="S16" s="22"/>
      <c r="T16" s="13"/>
      <c r="U16" s="4"/>
      <c r="V16" s="6"/>
      <c r="W16" s="11" t="s">
        <v>311</v>
      </c>
      <c r="X16" s="6">
        <v>0.9</v>
      </c>
      <c r="Y16" s="7"/>
      <c r="Z16" s="12"/>
      <c r="AA16" s="6"/>
      <c r="AB16" s="4"/>
      <c r="AC16" s="4"/>
      <c r="AD16" s="4"/>
    </row>
    <row r="17" spans="4:30">
      <c r="D17" s="10"/>
      <c r="E17" s="199" t="s">
        <v>40</v>
      </c>
      <c r="F17" s="200"/>
      <c r="G17" s="76"/>
      <c r="H17" s="17"/>
      <c r="I17" s="38"/>
      <c r="J17" s="6" t="s">
        <v>338</v>
      </c>
      <c r="K17" s="8">
        <v>20</v>
      </c>
      <c r="L17" s="39"/>
      <c r="M17" s="4"/>
      <c r="N17" s="13"/>
      <c r="O17" s="6" t="s">
        <v>339</v>
      </c>
      <c r="P17" s="6">
        <v>11.28</v>
      </c>
      <c r="Q17" s="15"/>
      <c r="R17" s="6">
        <v>13</v>
      </c>
      <c r="S17" s="22"/>
      <c r="T17" s="13"/>
      <c r="U17" s="4"/>
      <c r="V17" s="6"/>
      <c r="W17" s="11" t="s">
        <v>311</v>
      </c>
      <c r="X17" s="6">
        <v>1.8</v>
      </c>
      <c r="Y17" s="7"/>
      <c r="Z17" s="12"/>
      <c r="AA17" s="6"/>
      <c r="AB17" s="4"/>
      <c r="AC17" s="4"/>
      <c r="AD17" s="4"/>
    </row>
    <row r="18" spans="4:30">
      <c r="D18" s="10"/>
      <c r="E18" s="53" t="s">
        <v>77</v>
      </c>
      <c r="F18" s="54"/>
      <c r="G18" s="12"/>
      <c r="H18" s="6"/>
      <c r="I18" s="240" t="s">
        <v>340</v>
      </c>
      <c r="J18" s="133" t="s">
        <v>220</v>
      </c>
      <c r="K18" s="8">
        <v>349</v>
      </c>
      <c r="L18" s="40"/>
      <c r="M18" s="4"/>
      <c r="N18" s="13"/>
      <c r="O18" s="6"/>
      <c r="P18" s="6">
        <v>2.25</v>
      </c>
      <c r="Q18" s="15"/>
      <c r="R18" s="6">
        <v>48</v>
      </c>
      <c r="S18" s="22"/>
      <c r="T18" s="13"/>
      <c r="U18" s="4"/>
      <c r="V18" s="6"/>
      <c r="W18" s="11" t="s">
        <v>311</v>
      </c>
      <c r="X18" s="6">
        <v>1.8</v>
      </c>
      <c r="Y18" s="7"/>
      <c r="Z18" s="12"/>
      <c r="AA18" s="6"/>
      <c r="AB18" s="4"/>
      <c r="AC18" s="4"/>
      <c r="AD18" s="4"/>
    </row>
    <row r="19" spans="4:30">
      <c r="D19" s="10"/>
      <c r="E19" s="53"/>
      <c r="F19" s="12"/>
      <c r="G19" s="75"/>
      <c r="H19" s="5"/>
      <c r="I19" s="240"/>
      <c r="J19" s="17" t="s">
        <v>272</v>
      </c>
      <c r="K19" s="16"/>
      <c r="L19" s="35"/>
      <c r="M19" s="4"/>
      <c r="N19" s="13"/>
      <c r="O19" s="6"/>
      <c r="P19" s="6">
        <v>6.97</v>
      </c>
      <c r="Q19" s="15"/>
      <c r="R19" s="6">
        <v>7.75</v>
      </c>
      <c r="S19" s="22"/>
      <c r="T19" s="13"/>
      <c r="U19" s="4"/>
      <c r="V19" s="6"/>
      <c r="W19" s="11" t="s">
        <v>311</v>
      </c>
      <c r="X19" s="16">
        <v>3.6</v>
      </c>
      <c r="Y19" s="28"/>
      <c r="Z19" s="19"/>
      <c r="AA19" s="16"/>
      <c r="AB19" s="4"/>
      <c r="AC19" s="4"/>
      <c r="AD19" s="4"/>
    </row>
    <row r="20" spans="4:30">
      <c r="D20" s="10"/>
      <c r="E20" s="56"/>
      <c r="F20" s="57"/>
      <c r="G20" s="76"/>
      <c r="H20" s="17"/>
      <c r="I20" s="38"/>
      <c r="J20" s="17"/>
      <c r="K20" s="16"/>
      <c r="L20" s="35"/>
      <c r="M20" s="4"/>
      <c r="N20" s="13"/>
      <c r="O20" s="6" t="s">
        <v>268</v>
      </c>
      <c r="P20" s="6">
        <v>24.3</v>
      </c>
      <c r="Q20" s="15"/>
      <c r="R20" s="6"/>
      <c r="S20" s="22"/>
      <c r="T20" s="13"/>
      <c r="U20" s="4"/>
      <c r="V20" s="6"/>
      <c r="W20" s="152" t="s">
        <v>341</v>
      </c>
      <c r="X20" s="129">
        <v>50</v>
      </c>
      <c r="Y20" s="7"/>
      <c r="Z20" s="12"/>
      <c r="AA20" s="6"/>
      <c r="AB20" s="4"/>
      <c r="AC20" s="4"/>
      <c r="AD20" s="4"/>
    </row>
    <row r="21" spans="4:30">
      <c r="D21" s="10"/>
      <c r="E21" s="58"/>
      <c r="F21" s="12"/>
      <c r="G21" s="76"/>
      <c r="H21" s="17"/>
      <c r="I21" s="38"/>
      <c r="J21" s="17"/>
      <c r="K21" s="16"/>
      <c r="L21" s="35"/>
      <c r="M21" s="4"/>
      <c r="N21" s="13"/>
      <c r="O21" s="6" t="s">
        <v>259</v>
      </c>
      <c r="P21" s="6">
        <v>28.92</v>
      </c>
      <c r="Q21" s="15"/>
      <c r="R21" s="6"/>
      <c r="S21" s="22"/>
      <c r="T21" s="13"/>
      <c r="U21" s="4"/>
      <c r="V21" s="6"/>
      <c r="W21" s="11"/>
      <c r="X21" s="6"/>
      <c r="Y21" s="7"/>
      <c r="Z21" s="12"/>
      <c r="AA21" s="6"/>
      <c r="AB21" s="4"/>
      <c r="AC21" s="4"/>
      <c r="AD21" s="4"/>
    </row>
    <row r="22" spans="4:30">
      <c r="D22" s="10"/>
      <c r="E22" s="58"/>
      <c r="F22" s="59"/>
      <c r="G22" s="76"/>
      <c r="H22" s="17"/>
      <c r="I22" s="38"/>
      <c r="J22" s="17"/>
      <c r="K22" s="16"/>
      <c r="L22" s="35"/>
      <c r="M22" s="4"/>
      <c r="N22" s="13"/>
      <c r="O22" s="6" t="s">
        <v>342</v>
      </c>
      <c r="P22" s="6">
        <v>50</v>
      </c>
      <c r="Q22" s="15"/>
      <c r="R22" s="6"/>
      <c r="S22" s="22"/>
      <c r="T22" s="13"/>
      <c r="U22" s="4"/>
      <c r="V22" s="6"/>
      <c r="W22" s="11"/>
      <c r="X22" s="6"/>
      <c r="Y22" s="7"/>
      <c r="Z22" s="12"/>
      <c r="AA22" s="6"/>
      <c r="AB22" s="4"/>
      <c r="AC22" s="4"/>
      <c r="AD22" s="4"/>
    </row>
    <row r="23" spans="4:30">
      <c r="D23" s="10"/>
      <c r="E23" s="60"/>
      <c r="F23" s="61"/>
      <c r="G23" s="76"/>
      <c r="H23" s="17"/>
      <c r="I23" s="38"/>
      <c r="J23" s="4"/>
      <c r="K23" s="14"/>
      <c r="L23" s="41"/>
      <c r="M23" s="4"/>
      <c r="N23" s="13"/>
      <c r="O23" s="6"/>
      <c r="P23" s="6"/>
      <c r="Q23" s="15"/>
      <c r="R23" s="6"/>
      <c r="S23" s="22"/>
      <c r="T23" s="13"/>
      <c r="U23" s="4"/>
      <c r="V23" s="6"/>
      <c r="W23" s="11" t="s">
        <v>311</v>
      </c>
      <c r="X23" s="6">
        <v>1.8</v>
      </c>
      <c r="Y23" s="7"/>
      <c r="Z23" s="12"/>
      <c r="AA23" s="6"/>
      <c r="AB23" s="4"/>
      <c r="AC23" s="4"/>
      <c r="AD23" s="4"/>
    </row>
    <row r="24" spans="4:30">
      <c r="D24" s="10"/>
      <c r="E24" s="67" t="s">
        <v>20</v>
      </c>
      <c r="F24" s="68">
        <f>SUM(F18:F23)</f>
        <v>0</v>
      </c>
      <c r="G24" s="76"/>
      <c r="H24" s="17"/>
      <c r="I24" s="38"/>
      <c r="J24" s="4"/>
      <c r="K24" s="14"/>
      <c r="L24" s="41"/>
      <c r="M24" s="4"/>
      <c r="N24" s="13"/>
      <c r="O24" s="6"/>
      <c r="P24" s="6"/>
      <c r="Q24" s="15"/>
      <c r="R24" s="6"/>
      <c r="S24" s="22"/>
      <c r="T24" s="13"/>
      <c r="U24" s="4"/>
      <c r="V24" s="6"/>
      <c r="W24" s="11" t="s">
        <v>311</v>
      </c>
      <c r="X24" s="6">
        <v>3.6</v>
      </c>
      <c r="Y24" s="7"/>
      <c r="Z24" s="12"/>
      <c r="AA24" s="6"/>
      <c r="AB24" s="4"/>
      <c r="AC24" s="4"/>
      <c r="AD24" s="4"/>
    </row>
    <row r="25" spans="4:30">
      <c r="D25" s="10"/>
      <c r="E25" s="69"/>
      <c r="F25" s="69"/>
      <c r="G25" s="76"/>
      <c r="H25" s="17"/>
      <c r="I25" s="38"/>
      <c r="J25" s="97" t="s">
        <v>20</v>
      </c>
      <c r="K25" s="20">
        <f>SUM(K8:K24)</f>
        <v>1613.8</v>
      </c>
      <c r="L25" s="41"/>
      <c r="M25" s="4"/>
      <c r="N25" s="13"/>
      <c r="O25" s="6"/>
      <c r="P25" s="6"/>
      <c r="Q25" s="15"/>
      <c r="R25" s="6"/>
      <c r="S25" s="22"/>
      <c r="T25" s="13"/>
      <c r="U25" s="4"/>
      <c r="V25" s="6"/>
      <c r="W25" s="152" t="s">
        <v>343</v>
      </c>
      <c r="X25" s="129">
        <v>180</v>
      </c>
      <c r="Y25" s="7"/>
      <c r="Z25" s="12"/>
      <c r="AA25" s="6"/>
      <c r="AB25" s="4"/>
      <c r="AC25" s="4"/>
      <c r="AD25" s="4"/>
    </row>
    <row r="26" spans="4:30">
      <c r="D26" s="10"/>
      <c r="E26" s="199" t="s">
        <v>78</v>
      </c>
      <c r="F26" s="200"/>
      <c r="G26" s="55"/>
      <c r="H26" s="4"/>
      <c r="I26" s="21"/>
      <c r="J26" s="4" t="s">
        <v>79</v>
      </c>
      <c r="K26" s="8">
        <v>0</v>
      </c>
      <c r="L26" s="41"/>
      <c r="M26" s="4"/>
      <c r="N26" s="13"/>
      <c r="O26" s="6"/>
      <c r="P26" s="6"/>
      <c r="Q26" s="15"/>
      <c r="R26" s="6"/>
      <c r="S26" s="22"/>
      <c r="T26" s="13"/>
      <c r="U26" s="4"/>
      <c r="V26" s="6"/>
      <c r="W26" s="11" t="s">
        <v>122</v>
      </c>
      <c r="X26" s="6">
        <v>6</v>
      </c>
      <c r="Y26" s="7"/>
      <c r="Z26" s="12"/>
      <c r="AA26" s="6"/>
      <c r="AB26" s="4"/>
      <c r="AC26" s="6"/>
      <c r="AD26" s="4"/>
    </row>
    <row r="27" spans="4:30">
      <c r="D27" s="10"/>
      <c r="E27" s="53" t="s">
        <v>67</v>
      </c>
      <c r="F27" s="54"/>
      <c r="G27" s="55"/>
      <c r="H27" s="4"/>
      <c r="I27" s="21"/>
      <c r="J27" s="4" t="s">
        <v>80</v>
      </c>
      <c r="K27" s="8">
        <v>0</v>
      </c>
      <c r="L27" s="39"/>
      <c r="M27" s="4"/>
      <c r="N27" s="13"/>
      <c r="O27" s="6"/>
      <c r="P27" s="6"/>
      <c r="Q27" s="15"/>
      <c r="R27" s="6"/>
      <c r="S27" s="22"/>
      <c r="T27" s="13"/>
      <c r="U27" s="4"/>
      <c r="V27" s="6"/>
      <c r="W27" s="11" t="s">
        <v>344</v>
      </c>
      <c r="X27" s="6"/>
      <c r="Y27" s="7"/>
      <c r="Z27" s="12"/>
      <c r="AA27" s="6"/>
      <c r="AB27" s="4"/>
      <c r="AC27" s="4"/>
      <c r="AD27" s="4"/>
    </row>
    <row r="28" spans="4:30">
      <c r="D28" s="10"/>
      <c r="E28" s="53" t="s">
        <v>70</v>
      </c>
      <c r="F28" s="12"/>
      <c r="G28" s="55"/>
      <c r="H28" s="4"/>
      <c r="I28" s="21"/>
      <c r="J28" s="124" t="s">
        <v>11</v>
      </c>
      <c r="K28" s="125">
        <f>Y31</f>
        <v>9</v>
      </c>
      <c r="L28" s="39"/>
      <c r="M28" s="4"/>
      <c r="N28" s="13"/>
      <c r="O28" s="6"/>
      <c r="P28" s="6"/>
      <c r="Q28" s="15"/>
      <c r="R28" s="6"/>
      <c r="S28" s="22"/>
      <c r="T28" s="13"/>
      <c r="U28" s="4"/>
      <c r="V28" s="6"/>
      <c r="W28" s="11"/>
      <c r="X28" s="6"/>
      <c r="Y28" s="7"/>
      <c r="Z28" s="12"/>
      <c r="AA28" s="6"/>
      <c r="AB28" s="4"/>
      <c r="AC28" s="4"/>
      <c r="AD28" s="4"/>
    </row>
    <row r="29" spans="4:30">
      <c r="D29" s="10"/>
      <c r="E29" s="56"/>
      <c r="F29" s="57"/>
      <c r="G29" s="55"/>
      <c r="H29" s="4"/>
      <c r="I29" s="21"/>
      <c r="J29" s="4" t="s">
        <v>81</v>
      </c>
      <c r="K29" s="8">
        <v>0</v>
      </c>
      <c r="L29" s="39"/>
      <c r="M29" s="4"/>
      <c r="N29" s="13"/>
      <c r="O29" s="6"/>
      <c r="P29" s="6"/>
      <c r="Q29" s="15"/>
      <c r="R29" s="6"/>
      <c r="S29" s="22"/>
      <c r="T29" s="13"/>
      <c r="U29" s="4"/>
      <c r="V29" s="6"/>
      <c r="W29" s="11"/>
      <c r="X29" s="6"/>
      <c r="Y29" s="7"/>
      <c r="Z29" s="12"/>
      <c r="AA29" s="6"/>
      <c r="AB29" s="4"/>
    </row>
    <row r="30" spans="4:30">
      <c r="D30" s="10"/>
      <c r="E30" s="58"/>
      <c r="F30" s="12"/>
      <c r="G30" s="55"/>
      <c r="H30" s="4"/>
      <c r="I30" s="21"/>
      <c r="J30" s="4" t="s">
        <v>82</v>
      </c>
      <c r="K30" s="8">
        <v>0</v>
      </c>
      <c r="L30" s="39"/>
      <c r="M30" s="4"/>
      <c r="N30" s="13"/>
      <c r="O30" s="6"/>
      <c r="P30" s="6"/>
      <c r="Q30" s="15"/>
      <c r="R30" s="6"/>
      <c r="S30" s="22"/>
      <c r="T30" s="13"/>
      <c r="U30" s="4"/>
      <c r="V30" s="6"/>
      <c r="W30" s="11"/>
      <c r="X30" s="6"/>
      <c r="Y30" s="7"/>
      <c r="Z30" s="12"/>
      <c r="AA30" s="6"/>
      <c r="AB30" s="4"/>
    </row>
    <row r="31" spans="4:30">
      <c r="D31" s="10"/>
      <c r="E31" s="58"/>
      <c r="F31" s="59"/>
      <c r="G31" s="55"/>
      <c r="H31" s="4"/>
      <c r="I31" s="208" t="s">
        <v>83</v>
      </c>
      <c r="J31" s="209"/>
      <c r="K31" s="81">
        <f>K25-K26-K27-K28-K29-K30</f>
        <v>1604.8</v>
      </c>
      <c r="L31" s="210">
        <f>SUM(N8:N30)</f>
        <v>554</v>
      </c>
      <c r="M31" s="211"/>
      <c r="N31" s="212"/>
      <c r="O31" s="213">
        <f>SUM(P8:P30)</f>
        <v>306.07000000000005</v>
      </c>
      <c r="P31" s="214"/>
      <c r="Q31" s="201">
        <f>SUM(R8:R30)</f>
        <v>189.37</v>
      </c>
      <c r="R31" s="202"/>
      <c r="S31" s="203">
        <f>SUM(T8:T30)</f>
        <v>144.1</v>
      </c>
      <c r="T31" s="204"/>
      <c r="U31" s="205">
        <f>SUM(V8:V30)</f>
        <v>49.99</v>
      </c>
      <c r="V31" s="206"/>
      <c r="W31" s="205">
        <f>SUM(X8:X30)</f>
        <v>265</v>
      </c>
      <c r="X31" s="207"/>
      <c r="Y31" s="189">
        <f>SUM(Z8:Z30)</f>
        <v>9</v>
      </c>
      <c r="Z31" s="190"/>
      <c r="AA31" s="6"/>
      <c r="AB31" s="4"/>
    </row>
    <row r="32" spans="4:30">
      <c r="D32" s="10"/>
      <c r="E32" s="60"/>
      <c r="F32" s="61"/>
      <c r="G32" s="55"/>
      <c r="H32" s="4"/>
      <c r="I32" s="184" t="s">
        <v>31</v>
      </c>
      <c r="J32" s="185"/>
      <c r="K32" s="43">
        <f>K31-L33</f>
        <v>96.269999999999754</v>
      </c>
      <c r="L32" s="186">
        <f>SUM(L31:R31)</f>
        <v>1049.44</v>
      </c>
      <c r="M32" s="187"/>
      <c r="N32" s="187"/>
      <c r="O32" s="187"/>
      <c r="P32" s="187"/>
      <c r="Q32" s="187"/>
      <c r="R32" s="188"/>
      <c r="S32" s="193">
        <f>S31+U31+W31</f>
        <v>459.09000000000003</v>
      </c>
      <c r="T32" s="194"/>
      <c r="U32" s="194"/>
      <c r="V32" s="194"/>
      <c r="W32" s="194"/>
      <c r="X32" s="195"/>
      <c r="Y32" s="189"/>
      <c r="Z32" s="190"/>
      <c r="AA32" s="6"/>
      <c r="AB32" s="4"/>
    </row>
    <row r="33" spans="4:28" ht="18.75">
      <c r="D33" s="10"/>
      <c r="E33" s="67" t="s">
        <v>20</v>
      </c>
      <c r="F33" s="68">
        <f>SUM(F27:F32)</f>
        <v>0</v>
      </c>
      <c r="G33" s="55"/>
      <c r="H33" s="4"/>
      <c r="I33" s="4"/>
      <c r="J33" s="6"/>
      <c r="K33" s="8"/>
      <c r="L33" s="196">
        <f>L32+S32</f>
        <v>1508.5300000000002</v>
      </c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8"/>
      <c r="Y33" s="191"/>
      <c r="Z33" s="192"/>
      <c r="AA33" s="6"/>
      <c r="AB33" s="4"/>
    </row>
    <row r="34" spans="4:28">
      <c r="D34" s="10"/>
      <c r="E34" s="70"/>
      <c r="F34" s="70"/>
      <c r="G34" s="5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4:28">
      <c r="D35" s="1"/>
      <c r="E35" s="180" t="s">
        <v>84</v>
      </c>
      <c r="F35" s="181"/>
      <c r="G35" s="2"/>
    </row>
    <row r="36" spans="4:28">
      <c r="D36" s="1"/>
      <c r="E36" s="182" t="s">
        <v>85</v>
      </c>
      <c r="F36" s="183"/>
      <c r="G36" s="2"/>
      <c r="L36" s="151"/>
      <c r="M36" s="151"/>
    </row>
    <row r="37" spans="4:28">
      <c r="D37" s="1"/>
      <c r="E37" s="60" t="s">
        <v>67</v>
      </c>
      <c r="F37" s="62">
        <v>0</v>
      </c>
      <c r="G37" s="2"/>
      <c r="Q37" s="147"/>
    </row>
    <row r="38" spans="4:28">
      <c r="D38" s="1"/>
      <c r="E38" s="60" t="s">
        <v>70</v>
      </c>
      <c r="F38" s="62">
        <f>K29</f>
        <v>0</v>
      </c>
      <c r="G38" s="2"/>
      <c r="Q38" s="132"/>
      <c r="R38" s="147"/>
    </row>
    <row r="39" spans="4:28">
      <c r="D39" s="1"/>
      <c r="E39" s="65" t="s">
        <v>20</v>
      </c>
      <c r="F39" s="66">
        <f>SUM(F37:F38)</f>
        <v>0</v>
      </c>
      <c r="G39" s="2"/>
    </row>
    <row r="40" spans="4:28">
      <c r="D40" s="1"/>
      <c r="E40" s="182" t="s">
        <v>86</v>
      </c>
      <c r="F40" s="183"/>
      <c r="G40" s="2"/>
      <c r="P40" s="132"/>
      <c r="Q40" s="132"/>
    </row>
    <row r="41" spans="4:28">
      <c r="D41" s="1"/>
      <c r="E41" s="60" t="s">
        <v>67</v>
      </c>
      <c r="F41" s="62">
        <v>0</v>
      </c>
      <c r="G41" s="2"/>
      <c r="Q41" s="147"/>
    </row>
    <row r="42" spans="4:28">
      <c r="D42" s="1"/>
      <c r="E42" s="60" t="s">
        <v>70</v>
      </c>
      <c r="F42" s="62">
        <f>K30</f>
        <v>0</v>
      </c>
      <c r="G42" s="2"/>
      <c r="Q42" s="132"/>
    </row>
    <row r="43" spans="4:28">
      <c r="D43" s="1"/>
      <c r="E43" s="65" t="s">
        <v>20</v>
      </c>
      <c r="F43" s="66">
        <f>SUM(F41:F42)</f>
        <v>0</v>
      </c>
      <c r="G43" s="2"/>
    </row>
    <row r="44" spans="4:28">
      <c r="D44" s="1"/>
      <c r="E44" s="63" t="s">
        <v>20</v>
      </c>
      <c r="F44" s="64">
        <f>F43+F39</f>
        <v>0</v>
      </c>
      <c r="G44" s="2"/>
    </row>
    <row r="45" spans="4:28">
      <c r="D45" s="78"/>
      <c r="E45" s="79"/>
      <c r="F45" s="79"/>
      <c r="G45" s="80"/>
    </row>
  </sheetData>
  <mergeCells count="34">
    <mergeCell ref="E5:F5"/>
    <mergeCell ref="I5:Z5"/>
    <mergeCell ref="AC5:AD5"/>
    <mergeCell ref="I6:K6"/>
    <mergeCell ref="L6:N6"/>
    <mergeCell ref="O6:P6"/>
    <mergeCell ref="Q6:R6"/>
    <mergeCell ref="S6:T6"/>
    <mergeCell ref="U6:V6"/>
    <mergeCell ref="W6:X6"/>
    <mergeCell ref="Y6:Z6"/>
    <mergeCell ref="E40:F40"/>
    <mergeCell ref="W31:X31"/>
    <mergeCell ref="Y31:Z33"/>
    <mergeCell ref="I32:J32"/>
    <mergeCell ref="L32:R32"/>
    <mergeCell ref="S32:X32"/>
    <mergeCell ref="L33:X33"/>
    <mergeCell ref="O31:P31"/>
    <mergeCell ref="Q31:R31"/>
    <mergeCell ref="S31:T31"/>
    <mergeCell ref="U31:V31"/>
    <mergeCell ref="E35:F35"/>
    <mergeCell ref="I31:J31"/>
    <mergeCell ref="L31:N31"/>
    <mergeCell ref="I9:I10"/>
    <mergeCell ref="I11:I12"/>
    <mergeCell ref="I13:I14"/>
    <mergeCell ref="I15:I16"/>
    <mergeCell ref="E36:F36"/>
    <mergeCell ref="E12:F12"/>
    <mergeCell ref="E17:F17"/>
    <mergeCell ref="E26:F26"/>
    <mergeCell ref="I18:I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06380-0D03-4321-96CC-ECCD71961015}">
  <sheetPr>
    <tabColor theme="9" tint="-0.249977111117893"/>
  </sheetPr>
  <dimension ref="D4:AD45"/>
  <sheetViews>
    <sheetView topLeftCell="I3" workbookViewId="0">
      <selection activeCell="W22" sqref="W22"/>
    </sheetView>
  </sheetViews>
  <sheetFormatPr defaultRowHeight="15.75"/>
  <cols>
    <col min="5" max="5" width="20.125" customWidth="1"/>
    <col min="6" max="6" width="19" customWidth="1"/>
    <col min="10" max="10" width="19.25" customWidth="1"/>
    <col min="11" max="11" width="11.625" customWidth="1"/>
    <col min="13" max="13" width="17.75" customWidth="1"/>
    <col min="15" max="15" width="15" customWidth="1"/>
    <col min="18" max="18" width="15.5" customWidth="1"/>
    <col min="19" max="19" width="13" customWidth="1"/>
    <col min="23" max="23" width="12.875" customWidth="1"/>
    <col min="26" max="26" width="14" customWidth="1"/>
    <col min="28" max="28" width="9.875" bestFit="1" customWidth="1"/>
    <col min="29" max="29" width="32.25" customWidth="1"/>
    <col min="30" max="30" width="78.625" customWidth="1"/>
  </cols>
  <sheetData>
    <row r="4" spans="4:30">
      <c r="D4" s="71"/>
      <c r="E4" s="72"/>
      <c r="F4" s="72"/>
      <c r="G4" s="7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4:30" ht="21">
      <c r="D5" s="10"/>
      <c r="E5" s="215" t="s">
        <v>0</v>
      </c>
      <c r="F5" s="216"/>
      <c r="G5" s="74"/>
      <c r="H5" s="3"/>
      <c r="I5" s="217" t="s">
        <v>345</v>
      </c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9"/>
      <c r="AA5" s="33"/>
      <c r="AB5" s="4"/>
      <c r="AC5" s="220" t="s">
        <v>2</v>
      </c>
      <c r="AD5" s="221"/>
    </row>
    <row r="6" spans="4:30">
      <c r="D6" s="10"/>
      <c r="E6" s="45" t="s">
        <v>3</v>
      </c>
      <c r="F6" s="46">
        <f>L32</f>
        <v>1178.3000000000002</v>
      </c>
      <c r="G6" s="75"/>
      <c r="H6" s="5"/>
      <c r="I6" s="222" t="s">
        <v>4</v>
      </c>
      <c r="J6" s="223"/>
      <c r="K6" s="224"/>
      <c r="L6" s="225" t="s">
        <v>5</v>
      </c>
      <c r="M6" s="226"/>
      <c r="N6" s="227"/>
      <c r="O6" s="228" t="s">
        <v>6</v>
      </c>
      <c r="P6" s="229"/>
      <c r="Q6" s="230" t="s">
        <v>7</v>
      </c>
      <c r="R6" s="231"/>
      <c r="S6" s="232" t="s">
        <v>8</v>
      </c>
      <c r="T6" s="233"/>
      <c r="U6" s="234" t="s">
        <v>9</v>
      </c>
      <c r="V6" s="235"/>
      <c r="W6" s="236" t="s">
        <v>10</v>
      </c>
      <c r="X6" s="235"/>
      <c r="Y6" s="237" t="s">
        <v>11</v>
      </c>
      <c r="Z6" s="238"/>
      <c r="AA6" s="5"/>
      <c r="AB6" s="4"/>
      <c r="AC6" s="82" t="s">
        <v>5</v>
      </c>
      <c r="AD6" s="83" t="s">
        <v>12</v>
      </c>
    </row>
    <row r="7" spans="4:30">
      <c r="D7" s="10"/>
      <c r="E7" s="47" t="s">
        <v>13</v>
      </c>
      <c r="F7" s="48">
        <f>S32</f>
        <v>398.35</v>
      </c>
      <c r="G7" s="12"/>
      <c r="H7" s="6"/>
      <c r="I7" s="89" t="s">
        <v>14</v>
      </c>
      <c r="J7" s="36" t="s">
        <v>15</v>
      </c>
      <c r="K7" s="36" t="s">
        <v>16</v>
      </c>
      <c r="L7" s="86" t="s">
        <v>14</v>
      </c>
      <c r="M7" s="34" t="s">
        <v>17</v>
      </c>
      <c r="N7" s="87" t="s">
        <v>16</v>
      </c>
      <c r="O7" s="34" t="s">
        <v>17</v>
      </c>
      <c r="P7" s="34" t="s">
        <v>16</v>
      </c>
      <c r="Q7" s="9" t="s">
        <v>17</v>
      </c>
      <c r="R7" s="34" t="s">
        <v>16</v>
      </c>
      <c r="S7" s="88" t="s">
        <v>17</v>
      </c>
      <c r="T7" s="87" t="s">
        <v>16</v>
      </c>
      <c r="U7" s="34" t="s">
        <v>17</v>
      </c>
      <c r="V7" s="34" t="s">
        <v>16</v>
      </c>
      <c r="W7" s="9" t="s">
        <v>17</v>
      </c>
      <c r="X7" s="34" t="s">
        <v>16</v>
      </c>
      <c r="Y7" s="111" t="s">
        <v>17</v>
      </c>
      <c r="Z7" s="112" t="s">
        <v>16</v>
      </c>
      <c r="AA7" s="34"/>
      <c r="AB7" s="4"/>
      <c r="AC7" s="82" t="s">
        <v>18</v>
      </c>
      <c r="AD7" s="83" t="s">
        <v>19</v>
      </c>
    </row>
    <row r="8" spans="4:30">
      <c r="D8" s="10"/>
      <c r="E8" s="49" t="s">
        <v>20</v>
      </c>
      <c r="F8" s="50">
        <f>F7+F6</f>
        <v>1576.65</v>
      </c>
      <c r="G8" s="12"/>
      <c r="H8" s="6"/>
      <c r="I8" s="22"/>
      <c r="J8" s="6" t="s">
        <v>21</v>
      </c>
      <c r="K8" s="8">
        <v>92</v>
      </c>
      <c r="L8" s="39"/>
      <c r="M8" s="4" t="s">
        <v>228</v>
      </c>
      <c r="N8" s="13">
        <v>500</v>
      </c>
      <c r="O8" s="4" t="s">
        <v>268</v>
      </c>
      <c r="P8" s="13">
        <v>13.9</v>
      </c>
      <c r="Q8" s="15"/>
      <c r="R8" s="6">
        <v>80</v>
      </c>
      <c r="S8" s="22" t="s">
        <v>209</v>
      </c>
      <c r="T8" s="13">
        <v>25</v>
      </c>
      <c r="U8" s="4" t="s">
        <v>164</v>
      </c>
      <c r="V8" s="6"/>
      <c r="W8" s="11" t="s">
        <v>218</v>
      </c>
      <c r="X8" s="6">
        <v>16.2</v>
      </c>
      <c r="Y8" s="7" t="s">
        <v>29</v>
      </c>
      <c r="Z8" s="12"/>
      <c r="AA8" s="6"/>
      <c r="AB8" s="4"/>
      <c r="AC8" s="82" t="s">
        <v>7</v>
      </c>
      <c r="AD8" s="83" t="s">
        <v>30</v>
      </c>
    </row>
    <row r="9" spans="4:30">
      <c r="D9" s="10"/>
      <c r="E9" s="51" t="s">
        <v>31</v>
      </c>
      <c r="F9" s="52">
        <f>K32</f>
        <v>120.87999999999988</v>
      </c>
      <c r="G9" s="12"/>
      <c r="H9" s="6"/>
      <c r="I9" s="240"/>
      <c r="J9" s="141" t="s">
        <v>220</v>
      </c>
      <c r="K9" s="156">
        <v>427</v>
      </c>
      <c r="L9" s="39"/>
      <c r="M9" s="4" t="s">
        <v>254</v>
      </c>
      <c r="N9" s="13">
        <v>50</v>
      </c>
      <c r="O9" s="4" t="s">
        <v>259</v>
      </c>
      <c r="P9" s="6">
        <v>21.49</v>
      </c>
      <c r="Q9" s="15"/>
      <c r="R9" s="6">
        <v>10.46</v>
      </c>
      <c r="S9" s="22" t="s">
        <v>346</v>
      </c>
      <c r="T9" s="13">
        <v>18</v>
      </c>
      <c r="U9" s="4"/>
      <c r="V9" s="6"/>
      <c r="W9" s="11" t="s">
        <v>347</v>
      </c>
      <c r="X9" s="6">
        <v>33</v>
      </c>
      <c r="Y9" s="7" t="s">
        <v>40</v>
      </c>
      <c r="Z9" s="12"/>
      <c r="AA9" s="6"/>
      <c r="AB9" s="4"/>
      <c r="AC9" s="84" t="s">
        <v>8</v>
      </c>
      <c r="AD9" s="85" t="s">
        <v>41</v>
      </c>
    </row>
    <row r="10" spans="4:30">
      <c r="D10" s="10"/>
      <c r="E10" s="4"/>
      <c r="F10" s="17"/>
      <c r="G10" s="12"/>
      <c r="H10" s="6"/>
      <c r="I10" s="240"/>
      <c r="J10" s="141" t="s">
        <v>348</v>
      </c>
      <c r="K10" s="156">
        <v>75</v>
      </c>
      <c r="L10" s="39"/>
      <c r="M10" s="4" t="s">
        <v>234</v>
      </c>
      <c r="N10" s="13">
        <v>35</v>
      </c>
      <c r="O10" s="6" t="s">
        <v>349</v>
      </c>
      <c r="P10" s="6">
        <v>4</v>
      </c>
      <c r="Q10" s="15"/>
      <c r="R10" s="6">
        <v>61</v>
      </c>
      <c r="S10" s="22" t="s">
        <v>350</v>
      </c>
      <c r="T10" s="13">
        <v>15</v>
      </c>
      <c r="U10" s="4"/>
      <c r="V10" s="6"/>
      <c r="W10" s="11" t="s">
        <v>351</v>
      </c>
      <c r="X10" s="6">
        <v>20.65</v>
      </c>
      <c r="Y10" s="7" t="s">
        <v>352</v>
      </c>
      <c r="Z10" s="12">
        <v>266.86</v>
      </c>
      <c r="AA10" s="6"/>
      <c r="AB10" s="4"/>
      <c r="AC10" s="84" t="s">
        <v>49</v>
      </c>
      <c r="AD10" s="85" t="s">
        <v>50</v>
      </c>
    </row>
    <row r="11" spans="4:30">
      <c r="D11" s="10"/>
      <c r="E11" s="4"/>
      <c r="F11" s="6"/>
      <c r="G11" s="12"/>
      <c r="H11" s="6"/>
      <c r="I11" s="241"/>
      <c r="J11" s="141" t="s">
        <v>243</v>
      </c>
      <c r="K11" s="156">
        <v>71.5</v>
      </c>
      <c r="L11" s="39"/>
      <c r="M11" s="4" t="s">
        <v>239</v>
      </c>
      <c r="N11" s="13">
        <v>25</v>
      </c>
      <c r="O11" s="6" t="s">
        <v>353</v>
      </c>
      <c r="P11" s="6">
        <v>15</v>
      </c>
      <c r="Q11" s="15"/>
      <c r="R11" s="23">
        <v>3.68</v>
      </c>
      <c r="S11" s="6" t="s">
        <v>354</v>
      </c>
      <c r="T11" s="13">
        <v>81</v>
      </c>
      <c r="U11" s="4"/>
      <c r="V11" s="6"/>
      <c r="W11" s="11" t="s">
        <v>355</v>
      </c>
      <c r="X11" s="6">
        <v>18</v>
      </c>
      <c r="Y11" s="7" t="s">
        <v>356</v>
      </c>
      <c r="Z11" s="12">
        <v>18</v>
      </c>
      <c r="AA11" s="6"/>
      <c r="AB11" s="4"/>
      <c r="AC11" s="84" t="s">
        <v>10</v>
      </c>
      <c r="AD11" s="85" t="s">
        <v>57</v>
      </c>
    </row>
    <row r="12" spans="4:30">
      <c r="D12" s="10"/>
      <c r="E12" s="199" t="s">
        <v>58</v>
      </c>
      <c r="F12" s="200"/>
      <c r="G12" s="12"/>
      <c r="H12" s="6"/>
      <c r="I12" s="241"/>
      <c r="J12" s="141" t="s">
        <v>220</v>
      </c>
      <c r="K12" s="156">
        <v>409</v>
      </c>
      <c r="L12" s="39"/>
      <c r="M12" s="4" t="s">
        <v>357</v>
      </c>
      <c r="N12" s="13">
        <v>17.5</v>
      </c>
      <c r="O12" s="6" t="s">
        <v>259</v>
      </c>
      <c r="P12" s="6">
        <v>15.78</v>
      </c>
      <c r="Q12" s="15"/>
      <c r="R12" s="23">
        <v>9.09</v>
      </c>
      <c r="S12" s="6"/>
      <c r="T12" s="13"/>
      <c r="U12" s="4"/>
      <c r="V12" s="6"/>
      <c r="W12" s="11" t="s">
        <v>311</v>
      </c>
      <c r="X12" s="6">
        <v>10</v>
      </c>
      <c r="Y12" s="7" t="s">
        <v>358</v>
      </c>
      <c r="Z12" s="12">
        <v>8.61</v>
      </c>
      <c r="AA12" s="6"/>
      <c r="AB12" s="4"/>
      <c r="AC12" s="122" t="s">
        <v>65</v>
      </c>
      <c r="AD12" s="123" t="s">
        <v>66</v>
      </c>
    </row>
    <row r="13" spans="4:30">
      <c r="D13" s="10"/>
      <c r="E13" s="53" t="s">
        <v>67</v>
      </c>
      <c r="F13" s="54">
        <v>0</v>
      </c>
      <c r="G13" s="75"/>
      <c r="H13" s="5"/>
      <c r="I13" s="241"/>
      <c r="J13" s="141" t="s">
        <v>271</v>
      </c>
      <c r="K13" s="156">
        <v>290</v>
      </c>
      <c r="L13" s="39"/>
      <c r="M13" s="4" t="s">
        <v>234</v>
      </c>
      <c r="N13" s="13">
        <v>57.5</v>
      </c>
      <c r="O13" s="6" t="s">
        <v>259</v>
      </c>
      <c r="P13" s="6">
        <v>1.92</v>
      </c>
      <c r="Q13" s="15"/>
      <c r="R13" s="6">
        <v>2.9</v>
      </c>
      <c r="S13" s="22"/>
      <c r="T13" s="13"/>
      <c r="U13" s="4"/>
      <c r="V13" s="6"/>
      <c r="W13" s="11" t="s">
        <v>359</v>
      </c>
      <c r="X13" s="6">
        <v>125</v>
      </c>
      <c r="Y13" s="7"/>
      <c r="Z13" s="12"/>
      <c r="AA13" s="6"/>
      <c r="AB13" s="4"/>
    </row>
    <row r="14" spans="4:30">
      <c r="D14" s="10"/>
      <c r="E14" s="53" t="s">
        <v>70</v>
      </c>
      <c r="F14" s="12">
        <v>1500</v>
      </c>
      <c r="G14" s="76"/>
      <c r="H14" s="17"/>
      <c r="I14" s="241"/>
      <c r="J14" s="141" t="s">
        <v>348</v>
      </c>
      <c r="K14" s="157">
        <v>55</v>
      </c>
      <c r="L14" s="35"/>
      <c r="M14" s="4" t="s">
        <v>360</v>
      </c>
      <c r="N14" s="13">
        <v>16.2</v>
      </c>
      <c r="O14" s="6" t="s">
        <v>361</v>
      </c>
      <c r="P14" s="6">
        <v>46.5</v>
      </c>
      <c r="Q14" s="15"/>
      <c r="R14" s="6">
        <v>49.5</v>
      </c>
      <c r="S14" s="22"/>
      <c r="T14" s="13"/>
      <c r="U14" s="4"/>
      <c r="V14" s="6"/>
      <c r="W14" s="11" t="s">
        <v>362</v>
      </c>
      <c r="X14" s="6">
        <v>20</v>
      </c>
      <c r="Y14" s="7"/>
      <c r="Z14" s="12"/>
      <c r="AA14" s="6"/>
      <c r="AB14" s="4"/>
      <c r="AC14" s="4"/>
      <c r="AD14" s="4"/>
    </row>
    <row r="15" spans="4:30">
      <c r="D15" s="10"/>
      <c r="E15" s="67" t="s">
        <v>20</v>
      </c>
      <c r="F15" s="68">
        <f>SUM(F13:F14)</f>
        <v>1500</v>
      </c>
      <c r="G15" s="77"/>
      <c r="H15" s="17"/>
      <c r="I15" s="242"/>
      <c r="J15" s="158" t="s">
        <v>220</v>
      </c>
      <c r="K15" s="157">
        <v>503</v>
      </c>
      <c r="L15" s="35"/>
      <c r="M15" s="4"/>
      <c r="N15" s="13"/>
      <c r="O15" s="6" t="s">
        <v>259</v>
      </c>
      <c r="P15" s="6">
        <v>27.39</v>
      </c>
      <c r="Q15" s="15" t="s">
        <v>363</v>
      </c>
      <c r="R15" s="6">
        <v>42.5</v>
      </c>
      <c r="S15" s="22"/>
      <c r="T15" s="13"/>
      <c r="U15" s="4"/>
      <c r="V15" s="6"/>
      <c r="W15" s="155" t="s">
        <v>364</v>
      </c>
      <c r="X15" s="141">
        <v>12.5</v>
      </c>
      <c r="Y15" s="7"/>
      <c r="Z15" s="12"/>
      <c r="AA15" s="6"/>
      <c r="AB15" s="4"/>
      <c r="AC15" s="4"/>
      <c r="AD15" s="4"/>
    </row>
    <row r="16" spans="4:30">
      <c r="D16" s="10"/>
      <c r="E16" s="69"/>
      <c r="F16" s="69"/>
      <c r="G16" s="76"/>
      <c r="H16" s="17"/>
      <c r="I16" s="242"/>
      <c r="J16" s="158" t="s">
        <v>348</v>
      </c>
      <c r="K16" s="157">
        <v>107</v>
      </c>
      <c r="L16" s="35"/>
      <c r="M16" s="4"/>
      <c r="N16" s="13"/>
      <c r="O16" s="6" t="s">
        <v>365</v>
      </c>
      <c r="P16" s="6">
        <v>16</v>
      </c>
      <c r="Q16" s="15" t="s">
        <v>331</v>
      </c>
      <c r="R16" s="6">
        <v>14</v>
      </c>
      <c r="S16" s="22"/>
      <c r="T16" s="13"/>
      <c r="U16" s="4"/>
      <c r="V16" s="6"/>
      <c r="W16" s="11"/>
      <c r="X16" s="6"/>
      <c r="Y16" s="7"/>
      <c r="Z16" s="12"/>
      <c r="AA16" s="6"/>
      <c r="AB16" s="4"/>
      <c r="AC16" s="4"/>
      <c r="AD16" s="4"/>
    </row>
    <row r="17" spans="4:30">
      <c r="D17" s="10"/>
      <c r="E17" s="199" t="s">
        <v>40</v>
      </c>
      <c r="F17" s="200"/>
      <c r="G17" s="76"/>
      <c r="H17" s="17"/>
      <c r="I17" s="38"/>
      <c r="J17" s="141" t="s">
        <v>366</v>
      </c>
      <c r="K17" s="156">
        <v>50</v>
      </c>
      <c r="L17" s="39"/>
      <c r="M17" s="4"/>
      <c r="N17" s="13"/>
      <c r="O17" s="141" t="s">
        <v>367</v>
      </c>
      <c r="P17" s="141">
        <v>28</v>
      </c>
      <c r="Q17" s="15" t="s">
        <v>331</v>
      </c>
      <c r="R17" s="6">
        <v>12</v>
      </c>
      <c r="S17" s="22"/>
      <c r="T17" s="13"/>
      <c r="U17" s="4"/>
      <c r="V17" s="6"/>
      <c r="W17" s="11"/>
      <c r="X17" s="6"/>
      <c r="Y17" s="7"/>
      <c r="Z17" s="12"/>
      <c r="AA17" s="6"/>
      <c r="AB17" s="4"/>
      <c r="AC17" s="4"/>
      <c r="AD17" s="4"/>
    </row>
    <row r="18" spans="4:30">
      <c r="D18" s="10"/>
      <c r="E18" s="53" t="s">
        <v>77</v>
      </c>
      <c r="F18" s="54"/>
      <c r="G18" s="12"/>
      <c r="H18" s="6"/>
      <c r="I18" s="22"/>
      <c r="J18" s="159" t="s">
        <v>243</v>
      </c>
      <c r="K18" s="160">
        <v>32.5</v>
      </c>
      <c r="L18" s="40"/>
      <c r="M18" s="4"/>
      <c r="N18" s="13"/>
      <c r="O18" s="6"/>
      <c r="P18" s="6"/>
      <c r="Q18" s="15"/>
      <c r="R18" s="6"/>
      <c r="S18" s="22"/>
      <c r="T18" s="13"/>
      <c r="U18" s="4"/>
      <c r="V18" s="6"/>
      <c r="W18" s="11"/>
      <c r="X18" s="6"/>
      <c r="Y18" s="7"/>
      <c r="Z18" s="12"/>
      <c r="AA18" s="6"/>
      <c r="AB18" s="4"/>
      <c r="AC18" s="4"/>
      <c r="AD18" s="4"/>
    </row>
    <row r="19" spans="4:30">
      <c r="D19" s="10"/>
      <c r="E19" s="53"/>
      <c r="F19" s="12"/>
      <c r="G19" s="75"/>
      <c r="H19" s="5"/>
      <c r="I19" s="37"/>
      <c r="J19" s="158" t="s">
        <v>348</v>
      </c>
      <c r="K19" s="157">
        <v>150</v>
      </c>
      <c r="L19" s="35"/>
      <c r="M19" s="4"/>
      <c r="N19" s="13"/>
      <c r="O19" s="6"/>
      <c r="P19" s="6"/>
      <c r="Q19" s="15"/>
      <c r="R19" s="6">
        <v>1.99</v>
      </c>
      <c r="S19" s="22"/>
      <c r="T19" s="13"/>
      <c r="U19" s="4"/>
      <c r="V19" s="6"/>
      <c r="W19" s="11"/>
      <c r="X19" s="16"/>
      <c r="Y19" s="28"/>
      <c r="Z19" s="19"/>
      <c r="AA19" s="16"/>
      <c r="AB19" s="4"/>
      <c r="AC19" s="4"/>
      <c r="AD19" s="4"/>
    </row>
    <row r="20" spans="4:30">
      <c r="D20" s="10"/>
      <c r="E20" s="56"/>
      <c r="F20" s="57"/>
      <c r="G20" s="76"/>
      <c r="H20" s="17"/>
      <c r="I20" s="38"/>
      <c r="J20" s="158" t="s">
        <v>220</v>
      </c>
      <c r="K20" s="157">
        <v>479</v>
      </c>
      <c r="L20" s="35"/>
      <c r="M20" s="4"/>
      <c r="N20" s="13"/>
      <c r="O20" s="6"/>
      <c r="P20" s="6"/>
      <c r="Q20" s="15"/>
      <c r="R20" s="6"/>
      <c r="S20" s="22"/>
      <c r="T20" s="13"/>
      <c r="U20" s="4"/>
      <c r="V20" s="6"/>
      <c r="W20" s="11"/>
      <c r="X20" s="6"/>
      <c r="Y20" s="7"/>
      <c r="Z20" s="12"/>
      <c r="AA20" s="6"/>
      <c r="AB20" s="4"/>
      <c r="AC20" s="4"/>
      <c r="AD20" s="4"/>
    </row>
    <row r="21" spans="4:30">
      <c r="D21" s="10"/>
      <c r="E21" s="58"/>
      <c r="F21" s="12"/>
      <c r="G21" s="76"/>
      <c r="H21" s="17"/>
      <c r="I21" s="38"/>
      <c r="J21" s="17"/>
      <c r="K21" s="16"/>
      <c r="L21" s="35"/>
      <c r="M21" s="4"/>
      <c r="N21" s="13"/>
      <c r="O21" s="6"/>
      <c r="P21" s="6"/>
      <c r="Q21" s="15"/>
      <c r="R21" s="6"/>
      <c r="S21" s="22"/>
      <c r="T21" s="13"/>
      <c r="U21" s="4"/>
      <c r="V21" s="6"/>
      <c r="W21" s="11"/>
      <c r="X21" s="6"/>
      <c r="Y21" s="7"/>
      <c r="Z21" s="12"/>
      <c r="AA21" s="6"/>
      <c r="AB21" s="4"/>
      <c r="AC21" s="4"/>
      <c r="AD21" s="4"/>
    </row>
    <row r="22" spans="4:30">
      <c r="D22" s="10"/>
      <c r="E22" s="58"/>
      <c r="F22" s="59"/>
      <c r="G22" s="76"/>
      <c r="H22" s="17"/>
      <c r="I22" s="38"/>
      <c r="J22" s="17"/>
      <c r="K22" s="16"/>
      <c r="L22" s="35"/>
      <c r="M22" s="4"/>
      <c r="N22" s="13"/>
      <c r="O22" s="6"/>
      <c r="P22" s="6"/>
      <c r="Q22" s="15"/>
      <c r="R22" s="6"/>
      <c r="S22" s="22"/>
      <c r="T22" s="13"/>
      <c r="U22" s="4"/>
      <c r="V22" s="6"/>
      <c r="W22" s="11"/>
      <c r="X22" s="6"/>
      <c r="Y22" s="7"/>
      <c r="Z22" s="12"/>
      <c r="AA22" s="6"/>
      <c r="AB22" s="4"/>
      <c r="AC22" s="4"/>
      <c r="AD22" s="4"/>
    </row>
    <row r="23" spans="4:30">
      <c r="D23" s="10"/>
      <c r="E23" s="60"/>
      <c r="F23" s="61"/>
      <c r="G23" s="76"/>
      <c r="H23" s="17"/>
      <c r="I23" s="38"/>
      <c r="J23" s="4"/>
      <c r="K23" s="14"/>
      <c r="L23" s="41"/>
      <c r="M23" s="4"/>
      <c r="N23" s="13"/>
      <c r="O23" s="6"/>
      <c r="P23" s="6"/>
      <c r="Q23" s="15"/>
      <c r="R23" s="6"/>
      <c r="S23" s="22"/>
      <c r="T23" s="13"/>
      <c r="U23" s="4"/>
      <c r="V23" s="6"/>
      <c r="W23" s="11"/>
      <c r="X23" s="6"/>
      <c r="Y23" s="7"/>
      <c r="Z23" s="12"/>
      <c r="AA23" s="6"/>
      <c r="AB23" s="4"/>
      <c r="AC23" s="4"/>
      <c r="AD23" s="4"/>
    </row>
    <row r="24" spans="4:30">
      <c r="D24" s="10"/>
      <c r="E24" s="67" t="s">
        <v>20</v>
      </c>
      <c r="F24" s="68">
        <f>SUM(F18:F23)</f>
        <v>0</v>
      </c>
      <c r="G24" s="76"/>
      <c r="H24" s="17"/>
      <c r="I24" s="38"/>
      <c r="J24" s="4"/>
      <c r="K24" s="14"/>
      <c r="L24" s="41"/>
      <c r="M24" s="4"/>
      <c r="N24" s="13"/>
      <c r="O24" s="6"/>
      <c r="P24" s="6"/>
      <c r="Q24" s="15"/>
      <c r="R24" s="6"/>
      <c r="S24" s="22"/>
      <c r="T24" s="13"/>
      <c r="U24" s="4"/>
      <c r="V24" s="6"/>
      <c r="W24" s="11"/>
      <c r="X24" s="6"/>
      <c r="Y24" s="7"/>
      <c r="Z24" s="12"/>
      <c r="AA24" s="6"/>
      <c r="AB24" s="4"/>
      <c r="AC24" s="4"/>
      <c r="AD24" s="4"/>
    </row>
    <row r="25" spans="4:30">
      <c r="D25" s="10"/>
      <c r="E25" s="69"/>
      <c r="F25" s="69"/>
      <c r="G25" s="76"/>
      <c r="H25" s="17"/>
      <c r="I25" s="38"/>
      <c r="J25" s="97" t="s">
        <v>20</v>
      </c>
      <c r="K25" s="20">
        <f>SUM(K8:K24)</f>
        <v>2741</v>
      </c>
      <c r="L25" s="41"/>
      <c r="M25" s="4"/>
      <c r="N25" s="13"/>
      <c r="O25" s="6"/>
      <c r="P25" s="6"/>
      <c r="Q25" s="15"/>
      <c r="R25" s="6"/>
      <c r="S25" s="22"/>
      <c r="T25" s="13"/>
      <c r="U25" s="4"/>
      <c r="V25" s="6"/>
      <c r="W25" s="153"/>
      <c r="X25" s="154"/>
      <c r="Y25" s="7"/>
      <c r="Z25" s="12"/>
      <c r="AA25" s="6"/>
      <c r="AB25" s="4"/>
      <c r="AC25" s="4"/>
      <c r="AD25" s="4"/>
    </row>
    <row r="26" spans="4:30">
      <c r="D26" s="10"/>
      <c r="E26" s="199" t="s">
        <v>78</v>
      </c>
      <c r="F26" s="200"/>
      <c r="G26" s="55"/>
      <c r="H26" s="4"/>
      <c r="I26" s="21"/>
      <c r="J26" s="4" t="s">
        <v>79</v>
      </c>
      <c r="K26" s="8">
        <v>750</v>
      </c>
      <c r="L26" s="41"/>
      <c r="M26" s="4"/>
      <c r="N26" s="13"/>
      <c r="O26" s="6"/>
      <c r="P26" s="6"/>
      <c r="Q26" s="15"/>
      <c r="R26" s="6"/>
      <c r="S26" s="22"/>
      <c r="T26" s="13"/>
      <c r="U26" s="4"/>
      <c r="V26" s="6"/>
      <c r="W26" s="11" t="s">
        <v>122</v>
      </c>
      <c r="X26" s="6">
        <v>4</v>
      </c>
      <c r="Y26" s="7"/>
      <c r="Z26" s="12"/>
      <c r="AA26" s="6"/>
      <c r="AB26" s="4"/>
      <c r="AC26" s="6"/>
      <c r="AD26" s="4"/>
    </row>
    <row r="27" spans="4:30">
      <c r="D27" s="10"/>
      <c r="E27" s="53" t="s">
        <v>67</v>
      </c>
      <c r="F27" s="54"/>
      <c r="G27" s="55"/>
      <c r="H27" s="4"/>
      <c r="I27" s="21"/>
      <c r="J27" s="4" t="s">
        <v>80</v>
      </c>
      <c r="K27" s="8">
        <v>0</v>
      </c>
      <c r="L27" s="39"/>
      <c r="M27" s="4"/>
      <c r="N27" s="13"/>
      <c r="O27" s="6"/>
      <c r="P27" s="6"/>
      <c r="Q27" s="15"/>
      <c r="R27" s="6"/>
      <c r="S27" s="22"/>
      <c r="T27" s="13"/>
      <c r="U27" s="4"/>
      <c r="V27" s="6"/>
      <c r="W27" s="11" t="s">
        <v>368</v>
      </c>
      <c r="X27" s="6"/>
      <c r="Y27" s="7"/>
      <c r="Z27" s="12"/>
      <c r="AA27" s="6"/>
      <c r="AB27" s="4"/>
      <c r="AC27" s="4"/>
      <c r="AD27" s="4"/>
    </row>
    <row r="28" spans="4:30">
      <c r="D28" s="10"/>
      <c r="E28" s="53" t="s">
        <v>70</v>
      </c>
      <c r="F28" s="12"/>
      <c r="G28" s="55"/>
      <c r="H28" s="4"/>
      <c r="I28" s="21"/>
      <c r="J28" s="124" t="s">
        <v>11</v>
      </c>
      <c r="K28" s="125">
        <f>Y31</f>
        <v>293.47000000000003</v>
      </c>
      <c r="L28" s="39"/>
      <c r="M28" s="4"/>
      <c r="N28" s="13"/>
      <c r="O28" s="6"/>
      <c r="P28" s="6"/>
      <c r="Q28" s="15"/>
      <c r="R28" s="6"/>
      <c r="S28" s="22"/>
      <c r="T28" s="13"/>
      <c r="U28" s="4"/>
      <c r="V28" s="6"/>
      <c r="W28" s="11"/>
      <c r="X28" s="6"/>
      <c r="Y28" s="7"/>
      <c r="Z28" s="12"/>
      <c r="AA28" s="6"/>
      <c r="AB28" s="4"/>
      <c r="AC28" s="4"/>
      <c r="AD28" s="4"/>
    </row>
    <row r="29" spans="4:30">
      <c r="D29" s="10"/>
      <c r="E29" s="56"/>
      <c r="F29" s="57"/>
      <c r="G29" s="55"/>
      <c r="H29" s="4"/>
      <c r="I29" s="21"/>
      <c r="J29" s="4" t="s">
        <v>81</v>
      </c>
      <c r="K29" s="8">
        <v>0</v>
      </c>
      <c r="L29" s="39"/>
      <c r="M29" s="4"/>
      <c r="N29" s="13"/>
      <c r="O29" s="6"/>
      <c r="P29" s="6"/>
      <c r="Q29" s="15"/>
      <c r="R29" s="6"/>
      <c r="S29" s="22"/>
      <c r="T29" s="13"/>
      <c r="U29" s="4"/>
      <c r="V29" s="6"/>
      <c r="W29" s="11"/>
      <c r="X29" s="6"/>
      <c r="Y29" s="7"/>
      <c r="Z29" s="12"/>
      <c r="AA29" s="6"/>
      <c r="AB29" s="4"/>
    </row>
    <row r="30" spans="4:30">
      <c r="D30" s="10"/>
      <c r="E30" s="58"/>
      <c r="F30" s="12"/>
      <c r="G30" s="55"/>
      <c r="H30" s="4"/>
      <c r="I30" s="21"/>
      <c r="J30" s="4" t="s">
        <v>82</v>
      </c>
      <c r="K30" s="8">
        <v>0</v>
      </c>
      <c r="L30" s="39"/>
      <c r="M30" s="4"/>
      <c r="N30" s="13"/>
      <c r="O30" s="6"/>
      <c r="P30" s="6"/>
      <c r="Q30" s="15"/>
      <c r="R30" s="6"/>
      <c r="S30" s="22"/>
      <c r="T30" s="13"/>
      <c r="U30" s="4"/>
      <c r="V30" s="6"/>
      <c r="W30" s="11"/>
      <c r="X30" s="6"/>
      <c r="Y30" s="7"/>
      <c r="Z30" s="12"/>
      <c r="AA30" s="6"/>
      <c r="AB30" s="4"/>
    </row>
    <row r="31" spans="4:30">
      <c r="D31" s="10"/>
      <c r="E31" s="58"/>
      <c r="F31" s="59"/>
      <c r="G31" s="55"/>
      <c r="H31" s="4"/>
      <c r="I31" s="208" t="s">
        <v>83</v>
      </c>
      <c r="J31" s="209"/>
      <c r="K31" s="81">
        <f>K25-K26-K27-K28-K29-K30</f>
        <v>1697.53</v>
      </c>
      <c r="L31" s="210">
        <f>SUM(N8:N30)</f>
        <v>701.2</v>
      </c>
      <c r="M31" s="211"/>
      <c r="N31" s="212"/>
      <c r="O31" s="213">
        <f>SUM(P8:P30)</f>
        <v>189.98000000000002</v>
      </c>
      <c r="P31" s="214"/>
      <c r="Q31" s="201">
        <f>SUM(R8:R30)</f>
        <v>287.12</v>
      </c>
      <c r="R31" s="202"/>
      <c r="S31" s="203">
        <f>SUM(T8:T30)</f>
        <v>139</v>
      </c>
      <c r="T31" s="204"/>
      <c r="U31" s="205">
        <f>SUM(V8:V30)</f>
        <v>0</v>
      </c>
      <c r="V31" s="206"/>
      <c r="W31" s="205">
        <f>SUM(X8:X30)</f>
        <v>259.35000000000002</v>
      </c>
      <c r="X31" s="207"/>
      <c r="Y31" s="189">
        <f>SUM(Z8:Z30)</f>
        <v>293.47000000000003</v>
      </c>
      <c r="Z31" s="190"/>
      <c r="AA31" s="6"/>
      <c r="AB31" s="4"/>
    </row>
    <row r="32" spans="4:30">
      <c r="D32" s="10"/>
      <c r="E32" s="60"/>
      <c r="F32" s="61"/>
      <c r="G32" s="55"/>
      <c r="H32" s="4"/>
      <c r="I32" s="184" t="s">
        <v>31</v>
      </c>
      <c r="J32" s="185"/>
      <c r="K32" s="43">
        <f>K31-L33</f>
        <v>120.87999999999988</v>
      </c>
      <c r="L32" s="186">
        <f>SUM(L31:R31)</f>
        <v>1178.3000000000002</v>
      </c>
      <c r="M32" s="187"/>
      <c r="N32" s="187"/>
      <c r="O32" s="187"/>
      <c r="P32" s="187"/>
      <c r="Q32" s="187"/>
      <c r="R32" s="188"/>
      <c r="S32" s="193">
        <f>S31+U31+W31</f>
        <v>398.35</v>
      </c>
      <c r="T32" s="194"/>
      <c r="U32" s="194"/>
      <c r="V32" s="194"/>
      <c r="W32" s="194"/>
      <c r="X32" s="195"/>
      <c r="Y32" s="189"/>
      <c r="Z32" s="190"/>
      <c r="AA32" s="6"/>
      <c r="AB32" s="4"/>
    </row>
    <row r="33" spans="4:28" ht="18.75">
      <c r="D33" s="10"/>
      <c r="E33" s="67" t="s">
        <v>20</v>
      </c>
      <c r="F33" s="68">
        <f>SUM(F27:F32)</f>
        <v>0</v>
      </c>
      <c r="G33" s="55"/>
      <c r="H33" s="4"/>
      <c r="I33" s="4"/>
      <c r="J33" s="6"/>
      <c r="K33" s="8"/>
      <c r="L33" s="196">
        <f>L32+S32</f>
        <v>1576.65</v>
      </c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8"/>
      <c r="Y33" s="191"/>
      <c r="Z33" s="192"/>
      <c r="AA33" s="6"/>
      <c r="AB33" s="4"/>
    </row>
    <row r="34" spans="4:28">
      <c r="D34" s="10"/>
      <c r="E34" s="70"/>
      <c r="F34" s="70"/>
      <c r="G34" s="5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4:28">
      <c r="D35" s="1"/>
      <c r="E35" s="180" t="s">
        <v>84</v>
      </c>
      <c r="F35" s="181"/>
      <c r="G35" s="2"/>
      <c r="X35" s="147"/>
    </row>
    <row r="36" spans="4:28">
      <c r="D36" s="1"/>
      <c r="E36" s="182" t="s">
        <v>85</v>
      </c>
      <c r="F36" s="183"/>
      <c r="G36" s="2"/>
      <c r="X36" s="132"/>
      <c r="Y36" s="147"/>
    </row>
    <row r="37" spans="4:28">
      <c r="D37" s="1"/>
      <c r="E37" s="60" t="s">
        <v>67</v>
      </c>
      <c r="F37" s="62">
        <v>0</v>
      </c>
      <c r="G37" s="2"/>
      <c r="Q37" s="132"/>
      <c r="X37" s="132"/>
    </row>
    <row r="38" spans="4:28">
      <c r="D38" s="1"/>
      <c r="E38" s="60" t="s">
        <v>70</v>
      </c>
      <c r="F38" s="62">
        <f>K29</f>
        <v>0</v>
      </c>
      <c r="G38" s="2"/>
      <c r="Q38" s="132"/>
    </row>
    <row r="39" spans="4:28">
      <c r="D39" s="1"/>
      <c r="E39" s="65" t="s">
        <v>20</v>
      </c>
      <c r="F39" s="66">
        <f>SUM(F37:F38)</f>
        <v>0</v>
      </c>
      <c r="G39" s="2"/>
      <c r="Q39" s="132"/>
    </row>
    <row r="40" spans="4:28">
      <c r="D40" s="1"/>
      <c r="E40" s="182" t="s">
        <v>86</v>
      </c>
      <c r="F40" s="183"/>
      <c r="G40" s="2"/>
      <c r="Q40" s="132"/>
    </row>
    <row r="41" spans="4:28">
      <c r="D41" s="1"/>
      <c r="E41" s="60" t="s">
        <v>67</v>
      </c>
      <c r="F41" s="62">
        <v>0</v>
      </c>
      <c r="G41" s="2"/>
    </row>
    <row r="42" spans="4:28">
      <c r="D42" s="1"/>
      <c r="E42" s="60" t="s">
        <v>70</v>
      </c>
      <c r="F42" s="62">
        <f>K30</f>
        <v>0</v>
      </c>
      <c r="G42" s="2"/>
      <c r="Q42" s="132"/>
    </row>
    <row r="43" spans="4:28">
      <c r="D43" s="1"/>
      <c r="E43" s="65" t="s">
        <v>20</v>
      </c>
      <c r="F43" s="66">
        <f>SUM(F41:F42)</f>
        <v>0</v>
      </c>
      <c r="G43" s="2"/>
    </row>
    <row r="44" spans="4:28">
      <c r="D44" s="1"/>
      <c r="E44" s="63" t="s">
        <v>20</v>
      </c>
      <c r="F44" s="64">
        <f>F43+F39</f>
        <v>0</v>
      </c>
      <c r="G44" s="2"/>
    </row>
    <row r="45" spans="4:28">
      <c r="D45" s="78"/>
      <c r="E45" s="79"/>
      <c r="F45" s="79"/>
      <c r="G45" s="80"/>
    </row>
  </sheetData>
  <mergeCells count="33">
    <mergeCell ref="I9:I10"/>
    <mergeCell ref="I11:I12"/>
    <mergeCell ref="I13:I14"/>
    <mergeCell ref="I15:I16"/>
    <mergeCell ref="E5:F5"/>
    <mergeCell ref="I5:Z5"/>
    <mergeCell ref="E12:F12"/>
    <mergeCell ref="AC5:AD5"/>
    <mergeCell ref="I6:K6"/>
    <mergeCell ref="L6:N6"/>
    <mergeCell ref="O6:P6"/>
    <mergeCell ref="Q6:R6"/>
    <mergeCell ref="S6:T6"/>
    <mergeCell ref="U6:V6"/>
    <mergeCell ref="W6:X6"/>
    <mergeCell ref="Y6:Z6"/>
    <mergeCell ref="E17:F17"/>
    <mergeCell ref="E26:F26"/>
    <mergeCell ref="I31:J31"/>
    <mergeCell ref="L31:N31"/>
    <mergeCell ref="E36:F36"/>
    <mergeCell ref="E40:F40"/>
    <mergeCell ref="W31:X31"/>
    <mergeCell ref="Y31:Z33"/>
    <mergeCell ref="I32:J32"/>
    <mergeCell ref="L32:R32"/>
    <mergeCell ref="S32:X32"/>
    <mergeCell ref="L33:X33"/>
    <mergeCell ref="O31:P31"/>
    <mergeCell ref="Q31:R31"/>
    <mergeCell ref="S31:T31"/>
    <mergeCell ref="U31:V31"/>
    <mergeCell ref="E35:F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7370-8964-9B43-9742-6A7276A9F8CE}">
  <sheetPr>
    <tabColor rgb="FF08FC04"/>
  </sheetPr>
  <dimension ref="A1:AI18"/>
  <sheetViews>
    <sheetView tabSelected="1" zoomScale="117" zoomScaleNormal="106" workbookViewId="0">
      <pane xSplit="1" topLeftCell="Q1" activePane="topRight" state="frozen"/>
      <selection pane="topRight" activeCell="Z13" sqref="Z13:AA13"/>
    </sheetView>
  </sheetViews>
  <sheetFormatPr defaultColWidth="11" defaultRowHeight="15.95"/>
  <cols>
    <col min="1" max="1" width="22.125" customWidth="1"/>
    <col min="5" max="5" width="10.625" customWidth="1"/>
    <col min="6" max="6" width="10.875" customWidth="1"/>
    <col min="27" max="27" width="15" customWidth="1"/>
  </cols>
  <sheetData>
    <row r="1" spans="1:35" ht="17.100000000000001" thickBot="1">
      <c r="A1" s="168"/>
      <c r="B1" s="170" t="s">
        <v>369</v>
      </c>
      <c r="C1" s="171"/>
      <c r="D1" s="170" t="s">
        <v>370</v>
      </c>
      <c r="E1" s="171"/>
      <c r="F1" s="170" t="s">
        <v>371</v>
      </c>
      <c r="G1" s="171"/>
      <c r="H1" s="170" t="s">
        <v>372</v>
      </c>
      <c r="I1" s="171"/>
      <c r="J1" s="172" t="s">
        <v>373</v>
      </c>
      <c r="K1" s="171"/>
      <c r="L1" s="172" t="s">
        <v>374</v>
      </c>
      <c r="M1" s="171"/>
      <c r="N1" s="172" t="s">
        <v>375</v>
      </c>
      <c r="O1" s="171"/>
      <c r="P1" s="172" t="s">
        <v>376</v>
      </c>
      <c r="Q1" s="171"/>
      <c r="R1" s="170" t="s">
        <v>377</v>
      </c>
      <c r="S1" s="171"/>
      <c r="T1" s="170" t="s">
        <v>378</v>
      </c>
      <c r="U1" s="171"/>
      <c r="V1" s="170" t="s">
        <v>379</v>
      </c>
      <c r="W1" s="171"/>
      <c r="X1" s="170" t="s">
        <v>380</v>
      </c>
      <c r="Y1" s="171"/>
      <c r="Z1" s="178" t="s">
        <v>381</v>
      </c>
      <c r="AA1" s="179"/>
    </row>
    <row r="2" spans="1:35" ht="30">
      <c r="A2" s="169"/>
      <c r="B2" s="30" t="s">
        <v>382</v>
      </c>
      <c r="C2" s="31" t="s">
        <v>383</v>
      </c>
      <c r="D2" s="30" t="s">
        <v>382</v>
      </c>
      <c r="E2" s="31" t="s">
        <v>383</v>
      </c>
      <c r="F2" s="30" t="s">
        <v>382</v>
      </c>
      <c r="G2" s="31" t="s">
        <v>383</v>
      </c>
      <c r="H2" s="30" t="s">
        <v>382</v>
      </c>
      <c r="I2" s="31" t="s">
        <v>383</v>
      </c>
      <c r="J2" s="30" t="s">
        <v>382</v>
      </c>
      <c r="K2" s="31" t="s">
        <v>383</v>
      </c>
      <c r="L2" s="30" t="s">
        <v>382</v>
      </c>
      <c r="M2" s="31" t="s">
        <v>383</v>
      </c>
      <c r="N2" s="30" t="s">
        <v>382</v>
      </c>
      <c r="O2" s="31" t="s">
        <v>383</v>
      </c>
      <c r="P2" s="30" t="s">
        <v>382</v>
      </c>
      <c r="Q2" s="32" t="s">
        <v>383</v>
      </c>
      <c r="R2" s="30" t="s">
        <v>382</v>
      </c>
      <c r="S2" s="31" t="s">
        <v>383</v>
      </c>
      <c r="T2" s="30" t="s">
        <v>382</v>
      </c>
      <c r="U2" s="31" t="s">
        <v>383</v>
      </c>
      <c r="V2" s="30" t="s">
        <v>382</v>
      </c>
      <c r="W2" s="31" t="s">
        <v>383</v>
      </c>
      <c r="X2" s="30" t="s">
        <v>382</v>
      </c>
      <c r="Y2" s="32" t="s">
        <v>383</v>
      </c>
      <c r="Z2" s="103" t="s">
        <v>382</v>
      </c>
      <c r="AA2" s="107" t="s">
        <v>383</v>
      </c>
    </row>
    <row r="3" spans="1:35" ht="15.75">
      <c r="A3" s="90" t="s">
        <v>5</v>
      </c>
      <c r="B3" s="91">
        <v>634.08000000000004</v>
      </c>
      <c r="C3" s="98">
        <f>B3/$B$13</f>
        <v>0.41448555366714607</v>
      </c>
      <c r="D3" s="91">
        <v>786.84</v>
      </c>
      <c r="E3" s="98">
        <f>D3/$D$13</f>
        <v>0.45983110773456448</v>
      </c>
      <c r="F3" s="91">
        <v>791.5</v>
      </c>
      <c r="G3" s="98">
        <f>F3/$F$13</f>
        <v>0.64193545770849725</v>
      </c>
      <c r="H3" s="91">
        <v>548</v>
      </c>
      <c r="I3" s="98">
        <f>H3/$H$13</f>
        <v>0.47206381475802434</v>
      </c>
      <c r="J3" s="91">
        <v>617.12</v>
      </c>
      <c r="K3" s="98">
        <f>J3/$J$13</f>
        <v>0.60537571120266831</v>
      </c>
      <c r="L3" s="91">
        <v>585</v>
      </c>
      <c r="M3" s="98">
        <f>L3/$L$13</f>
        <v>0.63745627703740837</v>
      </c>
      <c r="N3" s="91">
        <v>684.17</v>
      </c>
      <c r="O3" s="98">
        <f>N3/$N$13</f>
        <v>0.61255606987134148</v>
      </c>
      <c r="P3" s="91">
        <v>607.5</v>
      </c>
      <c r="Q3" s="98">
        <f>P3/$P$13</f>
        <v>0.52225718264816623</v>
      </c>
      <c r="R3" s="91">
        <v>581</v>
      </c>
      <c r="S3" s="98">
        <f>R3/$R$13</f>
        <v>0.55664137349582266</v>
      </c>
      <c r="T3" s="91">
        <v>604</v>
      </c>
      <c r="U3" s="98">
        <f>T3/$T$13</f>
        <v>0.46785800044926762</v>
      </c>
      <c r="V3" s="91">
        <v>554</v>
      </c>
      <c r="W3" s="98">
        <f>V3/$V$13</f>
        <v>0.36724493380973533</v>
      </c>
      <c r="X3" s="91">
        <v>701.2</v>
      </c>
      <c r="Y3" s="98">
        <f>X3/$X$13</f>
        <v>0.44473760988418565</v>
      </c>
      <c r="Z3" s="104">
        <f>SUM(X3,V3,T3,R3,P3,N3,L3,J3,H3,F3,D3,B3)</f>
        <v>7694.41</v>
      </c>
      <c r="AA3" s="108">
        <f>Z3/$Z$13</f>
        <v>0.50382530621438748</v>
      </c>
    </row>
    <row r="4" spans="1:35" ht="14.1" customHeight="1">
      <c r="A4" s="90" t="s">
        <v>18</v>
      </c>
      <c r="B4" s="91">
        <v>31</v>
      </c>
      <c r="C4" s="98">
        <f>B4/$B$13</f>
        <v>2.0264086808733168E-2</v>
      </c>
      <c r="D4" s="91">
        <v>0</v>
      </c>
      <c r="E4" s="98">
        <f>D4/$D$13</f>
        <v>0</v>
      </c>
      <c r="F4" s="91"/>
      <c r="G4" s="98">
        <f>F4/$F$13</f>
        <v>0</v>
      </c>
      <c r="H4" s="91">
        <v>19</v>
      </c>
      <c r="I4" s="98">
        <f>H4/$H$13</f>
        <v>1.6367176059128581E-2</v>
      </c>
      <c r="J4" s="91"/>
      <c r="K4" s="98">
        <f>J4/$J$13</f>
        <v>0</v>
      </c>
      <c r="L4" s="91"/>
      <c r="M4" s="98">
        <f>L4/$L$13</f>
        <v>0</v>
      </c>
      <c r="N4" s="91">
        <v>42</v>
      </c>
      <c r="O4" s="98">
        <f>N4/$N$13</f>
        <v>3.760374604936835E-2</v>
      </c>
      <c r="P4" s="91">
        <v>46.11</v>
      </c>
      <c r="Q4" s="98">
        <f>P4/$P$13</f>
        <v>3.96399649249497E-2</v>
      </c>
      <c r="R4" s="91">
        <v>11.5</v>
      </c>
      <c r="S4" s="98">
        <f>R4/$R$13</f>
        <v>1.1017858511535217E-2</v>
      </c>
      <c r="T4" s="91"/>
      <c r="U4" s="98">
        <f>T4/$T$13</f>
        <v>0</v>
      </c>
      <c r="V4" s="91">
        <v>306.07</v>
      </c>
      <c r="W4" s="98">
        <f>V4/$V$13</f>
        <v>0.20289288247499221</v>
      </c>
      <c r="X4" s="91">
        <v>189.98</v>
      </c>
      <c r="Y4" s="98">
        <f>X4/$X$13</f>
        <v>0.12049522408128575</v>
      </c>
      <c r="Z4" s="104">
        <f t="shared" ref="Z4:Z11" si="0">SUM(X4,V4,T4,R4,P4,N4,L4,J4,H4,F4,D4,B4)</f>
        <v>645.66</v>
      </c>
      <c r="AA4" s="108">
        <f>Z4/$Z$13</f>
        <v>4.227742571690115E-2</v>
      </c>
    </row>
    <row r="5" spans="1:35" ht="15.75">
      <c r="A5" s="90" t="s">
        <v>7</v>
      </c>
      <c r="B5" s="91">
        <v>212.96</v>
      </c>
      <c r="C5" s="98">
        <f>B5/$B$13</f>
        <v>0.1392077395738005</v>
      </c>
      <c r="D5" s="91">
        <v>196.14</v>
      </c>
      <c r="E5" s="98">
        <f>D5/$D$13</f>
        <v>0.11462466762119042</v>
      </c>
      <c r="F5" s="91">
        <v>173.1</v>
      </c>
      <c r="G5" s="98">
        <f>F5/$F$13</f>
        <v>0.14039043301243317</v>
      </c>
      <c r="H5" s="91">
        <v>178.92</v>
      </c>
      <c r="I5" s="98">
        <f>H5/$H$13</f>
        <v>0.15412711265785714</v>
      </c>
      <c r="J5" s="91">
        <v>220.75</v>
      </c>
      <c r="K5" s="98">
        <f>J5/$J$13</f>
        <v>0.2165489503629586</v>
      </c>
      <c r="L5" s="91">
        <v>224.13</v>
      </c>
      <c r="M5" s="98">
        <f>L5/$L$13</f>
        <v>0.24422747926905014</v>
      </c>
      <c r="N5" s="91">
        <v>182.65</v>
      </c>
      <c r="O5" s="98">
        <f>N5/$N$13</f>
        <v>0.16353152895040785</v>
      </c>
      <c r="P5" s="91">
        <v>246.73</v>
      </c>
      <c r="Q5" s="98">
        <f>P5/$P$13</f>
        <v>0.21210948917659594</v>
      </c>
      <c r="R5" s="91">
        <v>103.45</v>
      </c>
      <c r="S5" s="98">
        <f>R5/$R$13</f>
        <v>9.9112822871158107E-2</v>
      </c>
      <c r="T5" s="91">
        <v>217.79</v>
      </c>
      <c r="U5" s="98">
        <f>T5/$T$13</f>
        <v>0.1686999899302086</v>
      </c>
      <c r="V5" s="91">
        <v>189.37</v>
      </c>
      <c r="W5" s="98">
        <f>V5/$V$13</f>
        <v>0.12553280345767071</v>
      </c>
      <c r="X5" s="91">
        <v>287.13</v>
      </c>
      <c r="Y5" s="98">
        <f>X5/$X$13</f>
        <v>0.18211282077302654</v>
      </c>
      <c r="Z5" s="104">
        <f t="shared" si="0"/>
        <v>2433.12</v>
      </c>
      <c r="AA5" s="108">
        <f>Z5/$Z$13</f>
        <v>0.15931922383345187</v>
      </c>
    </row>
    <row r="6" spans="1:35" ht="15.75">
      <c r="A6" s="92" t="s">
        <v>8</v>
      </c>
      <c r="B6" s="93">
        <v>106.85</v>
      </c>
      <c r="C6" s="99">
        <f>B6/$B$13</f>
        <v>6.9845731468165778E-2</v>
      </c>
      <c r="D6" s="93">
        <v>189.7</v>
      </c>
      <c r="E6" s="99">
        <f>D6/$D$13</f>
        <v>0.11086111679280015</v>
      </c>
      <c r="F6" s="93">
        <v>141.1</v>
      </c>
      <c r="G6" s="99">
        <f>F6/$F$13</f>
        <v>0.11443726226490077</v>
      </c>
      <c r="H6" s="93">
        <v>143.19999999999999</v>
      </c>
      <c r="I6" s="99">
        <f>H6/$H$13</f>
        <v>0.12335682166669541</v>
      </c>
      <c r="J6" s="93">
        <v>117.73</v>
      </c>
      <c r="K6" s="99">
        <f>J6/$J$13</f>
        <v>0.11548950362958604</v>
      </c>
      <c r="L6" s="93">
        <v>25</v>
      </c>
      <c r="M6" s="99">
        <f>L6/$L$13</f>
        <v>2.7241721240914889E-2</v>
      </c>
      <c r="N6" s="93">
        <v>37.200000000000003</v>
      </c>
      <c r="O6" s="99">
        <f>N6/$N$13</f>
        <v>3.3306175072297682E-2</v>
      </c>
      <c r="P6" s="93">
        <v>89.6</v>
      </c>
      <c r="Q6" s="99">
        <f>P6/$P$13</f>
        <v>7.7027561424322114E-2</v>
      </c>
      <c r="R6" s="93">
        <v>110.24</v>
      </c>
      <c r="S6" s="99">
        <f>R6/$R$13</f>
        <v>0.10561814976622975</v>
      </c>
      <c r="T6" s="93">
        <v>16</v>
      </c>
      <c r="U6" s="99">
        <f>T6/$T$13</f>
        <v>1.2393589415874639E-2</v>
      </c>
      <c r="V6" s="93">
        <v>144.1</v>
      </c>
      <c r="W6" s="99">
        <f>V6/$V$13</f>
        <v>9.5523456610077356E-2</v>
      </c>
      <c r="X6" s="93">
        <v>139</v>
      </c>
      <c r="Y6" s="99">
        <f>X6/$X$13</f>
        <v>8.8161049306762398E-2</v>
      </c>
      <c r="Z6" s="105">
        <f t="shared" si="0"/>
        <v>1259.72</v>
      </c>
      <c r="AA6" s="109">
        <f>Z6/$Z$13</f>
        <v>8.2485702574256928E-2</v>
      </c>
    </row>
    <row r="7" spans="1:35" ht="15.75">
      <c r="A7" s="92" t="s">
        <v>9</v>
      </c>
      <c r="B7" s="93">
        <v>38</v>
      </c>
      <c r="C7" s="99">
        <f>B7/$B$13</f>
        <v>2.4839848346189044E-2</v>
      </c>
      <c r="D7" s="93">
        <v>81.53</v>
      </c>
      <c r="E7" s="99">
        <f>D7/$D$13</f>
        <v>4.7646319726499721E-2</v>
      </c>
      <c r="F7" s="93">
        <v>84.3</v>
      </c>
      <c r="G7" s="99">
        <f>F7/$F$13</f>
        <v>6.8370384188030722E-2</v>
      </c>
      <c r="H7" s="93">
        <v>165.14</v>
      </c>
      <c r="I7" s="99">
        <f>H7/$H$13</f>
        <v>0.14225660286339442</v>
      </c>
      <c r="J7" s="93">
        <v>46</v>
      </c>
      <c r="K7" s="99">
        <f>J7/$J$13</f>
        <v>4.5124583088091037E-2</v>
      </c>
      <c r="L7" s="93">
        <v>72.680000000000007</v>
      </c>
      <c r="M7" s="99">
        <f>L7/$L$13</f>
        <v>7.9197131991587774E-2</v>
      </c>
      <c r="N7" s="93">
        <v>105.8</v>
      </c>
      <c r="O7" s="99">
        <f>N7/$N$13</f>
        <v>9.4725626952932657E-2</v>
      </c>
      <c r="P7" s="93">
        <v>96.89</v>
      </c>
      <c r="Q7" s="99">
        <f>P7/$P$13</f>
        <v>8.3294647616100115E-2</v>
      </c>
      <c r="R7" s="93">
        <v>169.69</v>
      </c>
      <c r="S7" s="99">
        <f>R7/$R$13</f>
        <v>0.16257568789760093</v>
      </c>
      <c r="T7" s="93">
        <v>32</v>
      </c>
      <c r="U7" s="99">
        <f>T7/$T$13</f>
        <v>2.4787178831749277E-2</v>
      </c>
      <c r="V7" s="93">
        <v>49.99</v>
      </c>
      <c r="W7" s="99">
        <f>V7/$V$13</f>
        <v>3.3138220651892904E-2</v>
      </c>
      <c r="X7" s="93">
        <v>0</v>
      </c>
      <c r="Y7" s="99">
        <f>X7/$X$13</f>
        <v>0</v>
      </c>
      <c r="Z7" s="105">
        <f t="shared" si="0"/>
        <v>942.01999999999987</v>
      </c>
      <c r="AA7" s="109">
        <f>Z7/$Z$13</f>
        <v>6.1682899008511011E-2</v>
      </c>
    </row>
    <row r="8" spans="1:35" ht="15.75">
      <c r="A8" s="92" t="s">
        <v>10</v>
      </c>
      <c r="B8" s="93">
        <v>150.31</v>
      </c>
      <c r="C8" s="99">
        <f>B8/$B$13</f>
        <v>9.8254673813570406E-2</v>
      </c>
      <c r="D8" s="93">
        <v>126.94</v>
      </c>
      <c r="E8" s="99">
        <f>D8/$D$13</f>
        <v>7.4184028285071438E-2</v>
      </c>
      <c r="F8" s="93">
        <v>42.99</v>
      </c>
      <c r="G8" s="99">
        <f>F8/$F$13</f>
        <v>3.4866462826138089E-2</v>
      </c>
      <c r="H8" s="93">
        <v>106.6</v>
      </c>
      <c r="I8" s="99">
        <f>H8/$H$13</f>
        <v>9.1828471994900351E-2</v>
      </c>
      <c r="J8" s="93">
        <v>17.8</v>
      </c>
      <c r="K8" s="99">
        <f>J8/$J$13</f>
        <v>1.7461251716696095E-2</v>
      </c>
      <c r="L8" s="93">
        <v>10.9</v>
      </c>
      <c r="M8" s="99">
        <f>L8/$L$13</f>
        <v>1.1877390461038891E-2</v>
      </c>
      <c r="N8" s="93">
        <v>65.09</v>
      </c>
      <c r="O8" s="99">
        <f>N8/$N$13</f>
        <v>5.8276853103652049E-2</v>
      </c>
      <c r="P8" s="93">
        <v>76.39</v>
      </c>
      <c r="Q8" s="99">
        <f>P8/$P$13</f>
        <v>6.5671154209865704E-2</v>
      </c>
      <c r="R8" s="93">
        <v>67.88</v>
      </c>
      <c r="S8" s="99">
        <f>R8/$R$13</f>
        <v>6.5034107457653076E-2</v>
      </c>
      <c r="T8" s="93">
        <v>421.2</v>
      </c>
      <c r="U8" s="102">
        <f>T8/$T$13</f>
        <v>0.32626124137289986</v>
      </c>
      <c r="V8" s="93">
        <v>265</v>
      </c>
      <c r="W8" s="99">
        <f>V8/$V$13</f>
        <v>0.1756677029956315</v>
      </c>
      <c r="X8" s="93">
        <v>259.35000000000002</v>
      </c>
      <c r="Y8" s="99">
        <f>X8/$X$13</f>
        <v>0.1644932959547398</v>
      </c>
      <c r="Z8" s="105">
        <f t="shared" si="0"/>
        <v>1610.4499999999998</v>
      </c>
      <c r="AA8" s="109">
        <f>Z8/$Z$13</f>
        <v>0.10545129053338205</v>
      </c>
    </row>
    <row r="9" spans="1:35">
      <c r="A9" s="94" t="s">
        <v>80</v>
      </c>
      <c r="B9" s="95">
        <v>6.6</v>
      </c>
      <c r="C9" s="100">
        <f>B9/$B$13</f>
        <v>4.3142894496012553E-3</v>
      </c>
      <c r="D9" s="95">
        <v>0</v>
      </c>
      <c r="E9" s="100">
        <f>D9/$D$13</f>
        <v>0</v>
      </c>
      <c r="F9" s="95"/>
      <c r="G9" s="100">
        <f>F9/$F$13</f>
        <v>0</v>
      </c>
      <c r="H9" s="95"/>
      <c r="I9" s="100">
        <f>H9/$H$13</f>
        <v>0</v>
      </c>
      <c r="J9" s="95"/>
      <c r="K9" s="100">
        <f>J9/$J$13</f>
        <v>0</v>
      </c>
      <c r="L9" s="95"/>
      <c r="M9" s="100">
        <f>L9/$L$13</f>
        <v>0</v>
      </c>
      <c r="N9" s="95"/>
      <c r="O9" s="100">
        <f>N9/$N$13</f>
        <v>0</v>
      </c>
      <c r="P9" s="95"/>
      <c r="Q9" s="100">
        <f>P9/$P$13</f>
        <v>0</v>
      </c>
      <c r="R9" s="95"/>
      <c r="S9" s="100">
        <f>R9/$R$13</f>
        <v>0</v>
      </c>
      <c r="T9" s="95"/>
      <c r="U9" s="100">
        <f>T9/$T$13</f>
        <v>0</v>
      </c>
      <c r="V9" s="95"/>
      <c r="W9" s="100">
        <f>V9/$V$13</f>
        <v>0</v>
      </c>
      <c r="X9" s="95"/>
      <c r="Y9" s="100">
        <f>X9/$X$13</f>
        <v>0</v>
      </c>
      <c r="Z9" s="106">
        <f t="shared" si="0"/>
        <v>6.6</v>
      </c>
      <c r="AA9" s="110">
        <f>Z9/$Z$13</f>
        <v>4.3216400231011306E-4</v>
      </c>
    </row>
    <row r="10" spans="1:35">
      <c r="A10" s="94" t="s">
        <v>81</v>
      </c>
      <c r="B10" s="95">
        <v>250</v>
      </c>
      <c r="C10" s="100">
        <f>B10/$B$13</f>
        <v>0.16342005490913847</v>
      </c>
      <c r="D10" s="95">
        <v>250</v>
      </c>
      <c r="E10" s="100">
        <f>D10/$D$13</f>
        <v>0.14610057563626799</v>
      </c>
      <c r="F10" s="95"/>
      <c r="G10" s="100">
        <f>F10/$F$13</f>
        <v>0</v>
      </c>
      <c r="H10" s="95"/>
      <c r="I10" s="100">
        <f>H10/$H$13</f>
        <v>0</v>
      </c>
      <c r="J10" s="95"/>
      <c r="K10" s="100">
        <f>J10/$J$13</f>
        <v>0</v>
      </c>
      <c r="L10" s="95"/>
      <c r="M10" s="100">
        <f>L10/$L$13</f>
        <v>0</v>
      </c>
      <c r="N10" s="95"/>
      <c r="O10" s="100">
        <f>N10/$N$13</f>
        <v>0</v>
      </c>
      <c r="P10" s="95"/>
      <c r="Q10" s="100">
        <f>P10/$P$13</f>
        <v>0</v>
      </c>
      <c r="R10" s="95"/>
      <c r="S10" s="100">
        <f>R10/$R$13</f>
        <v>0</v>
      </c>
      <c r="T10" s="95"/>
      <c r="U10" s="100">
        <f>T10/$T$13</f>
        <v>0</v>
      </c>
      <c r="V10" s="95"/>
      <c r="W10" s="100">
        <f>V10/$V$13</f>
        <v>0</v>
      </c>
      <c r="X10" s="95"/>
      <c r="Y10" s="100">
        <f>X10/$X$13</f>
        <v>0</v>
      </c>
      <c r="Z10" s="106">
        <f t="shared" si="0"/>
        <v>500</v>
      </c>
      <c r="AA10" s="110">
        <f>Z10/$Z$13</f>
        <v>3.2739697144705537E-2</v>
      </c>
    </row>
    <row r="11" spans="1:35">
      <c r="A11" s="113" t="s">
        <v>82</v>
      </c>
      <c r="B11" s="96">
        <v>100</v>
      </c>
      <c r="C11" s="101">
        <f>B11/$B$13</f>
        <v>6.5368021963655376E-2</v>
      </c>
      <c r="D11" s="96">
        <v>80</v>
      </c>
      <c r="E11" s="101">
        <f>D11/$D$13</f>
        <v>4.6752184203605759E-2</v>
      </c>
      <c r="F11" s="96"/>
      <c r="G11" s="101">
        <f>F11/$F$13</f>
        <v>0</v>
      </c>
      <c r="H11" s="96"/>
      <c r="I11" s="101">
        <f>H11/$H$13</f>
        <v>0</v>
      </c>
      <c r="J11" s="96"/>
      <c r="K11" s="101">
        <f>J11/$J$13</f>
        <v>0</v>
      </c>
      <c r="L11" s="96"/>
      <c r="M11" s="101">
        <f>L11/$L$13</f>
        <v>0</v>
      </c>
      <c r="N11" s="96"/>
      <c r="O11" s="101">
        <f>N11/$N$13</f>
        <v>0</v>
      </c>
      <c r="P11" s="96"/>
      <c r="Q11" s="101">
        <f>P11/$P$13</f>
        <v>0</v>
      </c>
      <c r="R11" s="96"/>
      <c r="S11" s="101">
        <f>R11/$R$13</f>
        <v>0</v>
      </c>
      <c r="T11" s="96"/>
      <c r="U11" s="101">
        <f>T11/$T$13</f>
        <v>0</v>
      </c>
      <c r="V11" s="96"/>
      <c r="W11" s="101">
        <f>V11/$V$13</f>
        <v>0</v>
      </c>
      <c r="X11" s="96"/>
      <c r="Y11" s="101">
        <f>X11/$X$13</f>
        <v>0</v>
      </c>
      <c r="Z11" s="114">
        <f t="shared" si="0"/>
        <v>180</v>
      </c>
      <c r="AA11" s="115">
        <f>Z11/$Z$13</f>
        <v>1.1786290972093993E-2</v>
      </c>
    </row>
    <row r="12" spans="1:35" s="29" customFormat="1" ht="15.75">
      <c r="A12" s="117" t="s">
        <v>384</v>
      </c>
      <c r="B12" s="118">
        <v>0</v>
      </c>
      <c r="C12" s="119">
        <f>B12/$B$13</f>
        <v>0</v>
      </c>
      <c r="D12" s="118">
        <v>0</v>
      </c>
      <c r="E12" s="119">
        <f>D12/$D$13</f>
        <v>0</v>
      </c>
      <c r="F12" s="118">
        <v>557.49</v>
      </c>
      <c r="G12" s="119">
        <f>F12/$F$13</f>
        <v>0.45214478625130777</v>
      </c>
      <c r="H12" s="118"/>
      <c r="I12" s="119">
        <f>H12/$H$13</f>
        <v>0</v>
      </c>
      <c r="J12" s="118"/>
      <c r="K12" s="119">
        <f>J12/$J$13</f>
        <v>0</v>
      </c>
      <c r="L12" s="118"/>
      <c r="M12" s="119">
        <f>L12/$L$13</f>
        <v>0</v>
      </c>
      <c r="N12" s="118"/>
      <c r="O12" s="119">
        <f>N12/$N$13</f>
        <v>0</v>
      </c>
      <c r="P12" s="118"/>
      <c r="Q12" s="119">
        <f>P12/$P$13</f>
        <v>0</v>
      </c>
      <c r="R12" s="118"/>
      <c r="S12" s="119">
        <f>R12/$R$13</f>
        <v>0</v>
      </c>
      <c r="T12" s="118">
        <v>13</v>
      </c>
      <c r="U12" s="119">
        <f>T12/$T$13</f>
        <v>1.0069791400398143E-2</v>
      </c>
      <c r="V12" s="118">
        <v>9</v>
      </c>
      <c r="W12" s="119">
        <f>V12/$V$13</f>
        <v>5.9660729319271077E-3</v>
      </c>
      <c r="X12" s="118">
        <v>193.47</v>
      </c>
      <c r="Y12" s="119">
        <f>X12/$X$13</f>
        <v>0.12270876409625411</v>
      </c>
      <c r="Z12" s="120">
        <f>SUM(X12,V12,T12,R12,P12,N12,L12,J12,H12,F12,D12,B12)</f>
        <v>772.96</v>
      </c>
      <c r="AA12" s="121">
        <f>Z12/$Z$13</f>
        <v>5.0612952609943189E-2</v>
      </c>
    </row>
    <row r="13" spans="1:35" ht="15.75">
      <c r="A13" s="116" t="s">
        <v>20</v>
      </c>
      <c r="B13" s="164">
        <f>SUM(B3:B12)</f>
        <v>1529.8</v>
      </c>
      <c r="C13" s="165"/>
      <c r="D13" s="164">
        <f>SUM(D3:D12)</f>
        <v>1711.15</v>
      </c>
      <c r="E13" s="165"/>
      <c r="F13" s="164">
        <f>SUM(F3:F11)</f>
        <v>1232.99</v>
      </c>
      <c r="G13" s="165"/>
      <c r="H13" s="164">
        <f>SUM(H3:H11)</f>
        <v>1160.8599999999997</v>
      </c>
      <c r="I13" s="165"/>
      <c r="J13" s="164">
        <f>SUM(J3:J11)</f>
        <v>1019.4</v>
      </c>
      <c r="K13" s="165"/>
      <c r="L13" s="164">
        <f>SUM(L3:L11)</f>
        <v>917.70999999999992</v>
      </c>
      <c r="M13" s="165"/>
      <c r="N13" s="164">
        <f>SUM(N3:N11)</f>
        <v>1116.9099999999999</v>
      </c>
      <c r="O13" s="165"/>
      <c r="P13" s="164">
        <f>SUM(P3:P11)</f>
        <v>1163.2200000000003</v>
      </c>
      <c r="Q13" s="165"/>
      <c r="R13" s="164">
        <f>SUM(R3:R11)</f>
        <v>1043.7600000000002</v>
      </c>
      <c r="S13" s="165"/>
      <c r="T13" s="164">
        <f>SUM(T3:T11)</f>
        <v>1290.99</v>
      </c>
      <c r="U13" s="165"/>
      <c r="V13" s="164">
        <f>SUM(V3:V11)</f>
        <v>1508.53</v>
      </c>
      <c r="W13" s="165"/>
      <c r="X13" s="164">
        <f>SUM(X3:X11)</f>
        <v>1576.6599999999999</v>
      </c>
      <c r="Y13" s="165"/>
      <c r="Z13" s="162">
        <f>SUM(Z3:Z11)</f>
        <v>15271.979999999998</v>
      </c>
      <c r="AA13" s="163"/>
    </row>
    <row r="14" spans="1:35">
      <c r="A14" s="42" t="s">
        <v>4</v>
      </c>
      <c r="B14" s="173">
        <v>2009.56</v>
      </c>
      <c r="C14" s="174"/>
      <c r="D14" s="173">
        <v>2404.58</v>
      </c>
      <c r="E14" s="174"/>
      <c r="F14" s="173">
        <v>1822.28</v>
      </c>
      <c r="G14" s="174"/>
      <c r="H14" s="173">
        <v>1161.8</v>
      </c>
      <c r="I14" s="174"/>
      <c r="J14" s="173">
        <v>900</v>
      </c>
      <c r="K14" s="174"/>
      <c r="L14" s="173">
        <v>980.13</v>
      </c>
      <c r="M14" s="174"/>
      <c r="N14" s="173">
        <v>1227.8900000000001</v>
      </c>
      <c r="O14" s="174"/>
      <c r="P14" s="173">
        <v>1593.49</v>
      </c>
      <c r="Q14" s="174"/>
      <c r="R14" s="173">
        <v>1073.78</v>
      </c>
      <c r="S14" s="174"/>
      <c r="T14" s="173">
        <v>1328.52</v>
      </c>
      <c r="U14" s="174"/>
      <c r="V14" s="173">
        <v>1613.8</v>
      </c>
      <c r="W14" s="174"/>
      <c r="X14" s="173">
        <v>2741</v>
      </c>
      <c r="Y14" s="176"/>
      <c r="Z14" s="166">
        <f>SUM(B14:Y14)</f>
        <v>18856.829999999998</v>
      </c>
      <c r="AA14" s="167"/>
    </row>
    <row r="15" spans="1:35">
      <c r="A15" s="24"/>
      <c r="B15" s="177"/>
      <c r="C15" s="177"/>
      <c r="D15" s="175"/>
      <c r="E15" s="175"/>
      <c r="F15" s="177"/>
      <c r="G15" s="177"/>
      <c r="H15" s="177"/>
      <c r="I15" s="177"/>
      <c r="J15" s="24"/>
      <c r="K15" s="25"/>
      <c r="L15" s="175"/>
      <c r="M15" s="175"/>
      <c r="N15" s="24"/>
      <c r="O15" s="2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24"/>
      <c r="AC15" s="26"/>
      <c r="AD15" s="24"/>
      <c r="AE15" s="26"/>
      <c r="AF15" s="25"/>
      <c r="AG15" s="24"/>
      <c r="AH15" s="24"/>
      <c r="AI15" s="24"/>
    </row>
    <row r="16" spans="1:35">
      <c r="A16" s="27"/>
      <c r="B16" s="24"/>
      <c r="C16" s="24"/>
      <c r="D16" s="26"/>
      <c r="E16" s="24"/>
      <c r="F16" s="24"/>
      <c r="G16" s="24"/>
      <c r="H16" s="24"/>
      <c r="I16" s="24"/>
      <c r="J16" s="24"/>
      <c r="K16" s="25"/>
      <c r="L16" s="24"/>
      <c r="M16" s="24"/>
      <c r="N16" s="24"/>
      <c r="O16" s="25"/>
      <c r="P16" s="26"/>
      <c r="Q16" s="25"/>
      <c r="R16" s="26"/>
      <c r="S16" s="25"/>
      <c r="T16" s="26"/>
      <c r="U16" s="24"/>
      <c r="V16" s="26"/>
      <c r="W16" s="24"/>
      <c r="X16" s="26"/>
      <c r="Y16" s="24"/>
      <c r="Z16" s="26"/>
      <c r="AA16" s="24"/>
      <c r="AB16" s="24"/>
      <c r="AC16" s="26"/>
      <c r="AD16" s="24"/>
      <c r="AE16" s="26"/>
      <c r="AF16" s="25"/>
      <c r="AG16" s="24"/>
      <c r="AH16" s="24"/>
      <c r="AI16" s="24"/>
    </row>
    <row r="17" spans="1:35" ht="15.75">
      <c r="A17" s="24"/>
      <c r="B17" s="24"/>
      <c r="C17" s="24"/>
      <c r="D17" s="26"/>
      <c r="E17" s="24"/>
      <c r="F17" s="24"/>
      <c r="G17" s="24"/>
      <c r="H17" s="24"/>
      <c r="I17" s="24"/>
      <c r="J17" s="24"/>
      <c r="K17" s="25"/>
      <c r="L17" s="24"/>
      <c r="M17" s="24"/>
      <c r="N17" s="24"/>
      <c r="O17" s="25"/>
      <c r="P17" s="26"/>
      <c r="Q17" s="25"/>
      <c r="R17" s="26"/>
      <c r="S17" s="25"/>
      <c r="T17" s="26"/>
      <c r="U17" s="24"/>
      <c r="V17" s="26"/>
      <c r="W17" s="24"/>
      <c r="X17" s="26"/>
      <c r="Y17" s="24"/>
      <c r="Z17" s="26"/>
      <c r="AA17" s="24"/>
      <c r="AB17" s="24"/>
      <c r="AC17" s="26"/>
      <c r="AD17" s="24"/>
      <c r="AE17" s="26"/>
      <c r="AF17" s="25"/>
      <c r="AG17" s="24"/>
      <c r="AH17" s="24"/>
      <c r="AI17" s="24"/>
    </row>
    <row r="18" spans="1:35" ht="15.75"/>
  </sheetData>
  <mergeCells count="51">
    <mergeCell ref="Z1:AA1"/>
    <mergeCell ref="P13:Q13"/>
    <mergeCell ref="B14:C14"/>
    <mergeCell ref="D14:E14"/>
    <mergeCell ref="F14:G14"/>
    <mergeCell ref="H14:I14"/>
    <mergeCell ref="J14:K14"/>
    <mergeCell ref="L14:M14"/>
    <mergeCell ref="N14:O14"/>
    <mergeCell ref="P14:Q14"/>
    <mergeCell ref="L1:M1"/>
    <mergeCell ref="N1:O1"/>
    <mergeCell ref="L13:M13"/>
    <mergeCell ref="N13:O13"/>
    <mergeCell ref="J13:K13"/>
    <mergeCell ref="R14:S14"/>
    <mergeCell ref="B15:C15"/>
    <mergeCell ref="D15:E15"/>
    <mergeCell ref="F15:G15"/>
    <mergeCell ref="H15:I15"/>
    <mergeCell ref="B13:C13"/>
    <mergeCell ref="D13:E13"/>
    <mergeCell ref="F13:G13"/>
    <mergeCell ref="H13:I13"/>
    <mergeCell ref="T13:U13"/>
    <mergeCell ref="P1:Q1"/>
    <mergeCell ref="L15:M15"/>
    <mergeCell ref="P15:Q15"/>
    <mergeCell ref="R15:S15"/>
    <mergeCell ref="T15:U15"/>
    <mergeCell ref="V15:W15"/>
    <mergeCell ref="X15:Y15"/>
    <mergeCell ref="Z15:AA15"/>
    <mergeCell ref="V14:W14"/>
    <mergeCell ref="X14:Y14"/>
    <mergeCell ref="Z13:AA13"/>
    <mergeCell ref="V13:W13"/>
    <mergeCell ref="X13:Y13"/>
    <mergeCell ref="Z14:AA14"/>
    <mergeCell ref="A1:A2"/>
    <mergeCell ref="V1:W1"/>
    <mergeCell ref="X1:Y1"/>
    <mergeCell ref="B1:C1"/>
    <mergeCell ref="R1:S1"/>
    <mergeCell ref="T1:U1"/>
    <mergeCell ref="D1:E1"/>
    <mergeCell ref="F1:G1"/>
    <mergeCell ref="H1:I1"/>
    <mergeCell ref="J1:K1"/>
    <mergeCell ref="T14:U14"/>
    <mergeCell ref="R13:S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Eduarda</dc:creator>
  <cp:keywords/>
  <dc:description/>
  <cp:lastModifiedBy/>
  <cp:revision/>
  <dcterms:created xsi:type="dcterms:W3CDTF">2022-02-11T09:36:15Z</dcterms:created>
  <dcterms:modified xsi:type="dcterms:W3CDTF">2026-08-21T11:30:08Z</dcterms:modified>
  <cp:category/>
  <cp:contentStatus/>
</cp:coreProperties>
</file>