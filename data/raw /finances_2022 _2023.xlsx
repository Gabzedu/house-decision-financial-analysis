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8eb9676f6d6732/FINANÇAS/"/>
    </mc:Choice>
  </mc:AlternateContent>
  <xr:revisionPtr revIDLastSave="0" documentId="8_{A8E82658-56FF-4B9A-B7F3-2AB137A6685B}" xr6:coauthVersionLast="47" xr6:coauthVersionMax="47" xr10:uidLastSave="{00000000-0000-0000-0000-000000000000}"/>
  <bookViews>
    <workbookView xWindow="4380" yWindow="0" windowWidth="24420" windowHeight="18000" firstSheet="15" activeTab="15" xr2:uid="{AD04AE19-E668-8148-AF68-81575B7686D2}"/>
  </bookViews>
  <sheets>
    <sheet name="MAIO 22" sheetId="5" r:id="rId1"/>
    <sheet name="JUNHO 22" sheetId="7" r:id="rId2"/>
    <sheet name="JULHO 22" sheetId="10" r:id="rId3"/>
    <sheet name=" AGOSTO 22" sheetId="11" r:id="rId4"/>
    <sheet name="SETEMBRO 22" sheetId="12" r:id="rId5"/>
    <sheet name="OUTUBRO 22" sheetId="13" r:id="rId6"/>
    <sheet name="NOVEMBRO 22" sheetId="14" r:id="rId7"/>
    <sheet name="DEZEMBRO 22" sheetId="17" r:id="rId8"/>
    <sheet name="OVERVIEW DESPESAS 2022" sheetId="21" r:id="rId9"/>
    <sheet name="JANEIRO 23" sheetId="18" r:id="rId10"/>
    <sheet name="FEVEREIRO 23" sheetId="19" r:id="rId11"/>
    <sheet name="MARÇO 23" sheetId="20" r:id="rId12"/>
    <sheet name="ABRIL 23" sheetId="26" r:id="rId13"/>
    <sheet name="MAIO 23" sheetId="27" r:id="rId14"/>
    <sheet name="JUNHO 23" sheetId="28" r:id="rId15"/>
    <sheet name="JULHO 23" sheetId="29" r:id="rId16"/>
    <sheet name="AGOSTO 23" sheetId="30" r:id="rId17"/>
    <sheet name="SETEMBRO 23" sheetId="31" r:id="rId18"/>
    <sheet name="OUTUBRO 23" sheetId="32" r:id="rId19"/>
    <sheet name="NOVEMBRO 23" sheetId="33" r:id="rId20"/>
    <sheet name="DEZEMBRO 23" sheetId="34" r:id="rId21"/>
    <sheet name="OVERVIEW DESPESAS 2023" sheetId="24" r:id="rId22"/>
  </sheets>
  <externalReferences>
    <externalReference r:id="rId2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1" i="24" l="1"/>
  <c r="AD21" i="24"/>
  <c r="AI30" i="34"/>
  <c r="AH30" i="34"/>
  <c r="AF30" i="34"/>
  <c r="AD30" i="34"/>
  <c r="AB30" i="34"/>
  <c r="Z30" i="34"/>
  <c r="Y30" i="34"/>
  <c r="X30" i="34"/>
  <c r="V30" i="34"/>
  <c r="T30" i="34"/>
  <c r="R30" i="34"/>
  <c r="P30" i="34"/>
  <c r="N30" i="34"/>
  <c r="K30" i="34"/>
  <c r="J26" i="34"/>
  <c r="J30" i="34" s="1"/>
  <c r="E13" i="34"/>
  <c r="E18" i="34" s="1"/>
  <c r="K31" i="34" l="1"/>
  <c r="E5" i="34" s="1"/>
  <c r="Z31" i="34"/>
  <c r="E6" i="34" s="1"/>
  <c r="AJ30" i="33"/>
  <c r="AI30" i="33"/>
  <c r="AG30" i="33"/>
  <c r="AE30" i="33"/>
  <c r="AC30" i="33"/>
  <c r="AA30" i="33"/>
  <c r="Z30" i="33"/>
  <c r="Y30" i="33"/>
  <c r="W30" i="33"/>
  <c r="U30" i="33"/>
  <c r="S30" i="33"/>
  <c r="Q30" i="33"/>
  <c r="O30" i="33"/>
  <c r="L30" i="33"/>
  <c r="K26" i="33"/>
  <c r="K30" i="33" s="1"/>
  <c r="AH30" i="32"/>
  <c r="AG30" i="32"/>
  <c r="AE30" i="32"/>
  <c r="AC30" i="32"/>
  <c r="AA30" i="32"/>
  <c r="Y30" i="32"/>
  <c r="X30" i="32"/>
  <c r="W30" i="32"/>
  <c r="U30" i="32"/>
  <c r="S30" i="32"/>
  <c r="Q30" i="32"/>
  <c r="O30" i="32"/>
  <c r="M30" i="32"/>
  <c r="J30" i="32"/>
  <c r="I26" i="32"/>
  <c r="I30" i="32" s="1"/>
  <c r="D13" i="32"/>
  <c r="D18" i="32" s="1"/>
  <c r="AH30" i="31"/>
  <c r="AG30" i="31"/>
  <c r="AE30" i="31"/>
  <c r="AC30" i="31"/>
  <c r="AA30" i="31"/>
  <c r="Y30" i="31"/>
  <c r="X30" i="31"/>
  <c r="W30" i="31"/>
  <c r="U30" i="31"/>
  <c r="S30" i="31"/>
  <c r="Q30" i="31"/>
  <c r="O30" i="31"/>
  <c r="M30" i="31"/>
  <c r="J30" i="31"/>
  <c r="I26" i="31"/>
  <c r="I30" i="31" s="1"/>
  <c r="D13" i="31"/>
  <c r="D18" i="31" s="1"/>
  <c r="X28" i="29"/>
  <c r="D13" i="30"/>
  <c r="D18" i="30" s="1"/>
  <c r="I26" i="30"/>
  <c r="I30" i="30" s="1"/>
  <c r="AH30" i="30"/>
  <c r="AG30" i="30"/>
  <c r="AE30" i="30"/>
  <c r="AC30" i="30"/>
  <c r="AA30" i="30"/>
  <c r="Y30" i="30"/>
  <c r="X30" i="30"/>
  <c r="W30" i="30"/>
  <c r="U30" i="30"/>
  <c r="S30" i="30"/>
  <c r="Q30" i="30"/>
  <c r="O30" i="30"/>
  <c r="M30" i="30"/>
  <c r="J30" i="30"/>
  <c r="E19" i="28"/>
  <c r="AH28" i="29"/>
  <c r="AG28" i="29"/>
  <c r="AE28" i="29"/>
  <c r="AC28" i="29"/>
  <c r="AA28" i="29"/>
  <c r="Y28" i="29"/>
  <c r="W28" i="29"/>
  <c r="U28" i="29"/>
  <c r="S28" i="29"/>
  <c r="Q28" i="29"/>
  <c r="O28" i="29"/>
  <c r="M28" i="29"/>
  <c r="J28" i="29"/>
  <c r="I24" i="29"/>
  <c r="I28" i="29" s="1"/>
  <c r="D11" i="29"/>
  <c r="D16" i="29" s="1"/>
  <c r="AI30" i="28"/>
  <c r="AH30" i="28"/>
  <c r="AF30" i="28"/>
  <c r="AD30" i="28"/>
  <c r="AB30" i="28"/>
  <c r="Z30" i="28"/>
  <c r="Y30" i="28"/>
  <c r="X30" i="28"/>
  <c r="V30" i="28"/>
  <c r="T30" i="28"/>
  <c r="R30" i="28"/>
  <c r="P30" i="28"/>
  <c r="N30" i="28"/>
  <c r="K30" i="28"/>
  <c r="J26" i="28"/>
  <c r="J30" i="28" s="1"/>
  <c r="E13" i="28"/>
  <c r="D14" i="19"/>
  <c r="D21" i="19"/>
  <c r="AJ22" i="24"/>
  <c r="AI22" i="24"/>
  <c r="AH22" i="24"/>
  <c r="AF22" i="24"/>
  <c r="Z21" i="24"/>
  <c r="AA19" i="24" s="1"/>
  <c r="X21" i="24"/>
  <c r="Y20" i="24" s="1"/>
  <c r="V21" i="24"/>
  <c r="W20" i="24" s="1"/>
  <c r="T21" i="24"/>
  <c r="U17" i="24" s="1"/>
  <c r="R21" i="24"/>
  <c r="S3" i="24" s="1"/>
  <c r="P21" i="24"/>
  <c r="Q16" i="24" s="1"/>
  <c r="D21" i="24"/>
  <c r="H21" i="24"/>
  <c r="K18" i="24" s="1"/>
  <c r="L21" i="24"/>
  <c r="O18" i="24" s="1"/>
  <c r="B21" i="24"/>
  <c r="C6" i="24"/>
  <c r="E14" i="24"/>
  <c r="F14" i="24"/>
  <c r="E13" i="24"/>
  <c r="F13" i="24"/>
  <c r="J13" i="24"/>
  <c r="N18" i="24"/>
  <c r="N17" i="24"/>
  <c r="N16" i="24"/>
  <c r="N15" i="24"/>
  <c r="N14" i="24"/>
  <c r="N13" i="24"/>
  <c r="AJ13" i="24"/>
  <c r="AJ14" i="24"/>
  <c r="AJ15" i="24"/>
  <c r="AJ16" i="24"/>
  <c r="AJ17" i="24"/>
  <c r="AJ18" i="24"/>
  <c r="AJ19" i="24"/>
  <c r="AJ20" i="24"/>
  <c r="AI13" i="24"/>
  <c r="AI14" i="24"/>
  <c r="AI15" i="24"/>
  <c r="AI16" i="24"/>
  <c r="AI17" i="24"/>
  <c r="AI18" i="24"/>
  <c r="AI19" i="24"/>
  <c r="AI20" i="24"/>
  <c r="AF13" i="24"/>
  <c r="AF14" i="24"/>
  <c r="AF15" i="24"/>
  <c r="AF16" i="24"/>
  <c r="AF17" i="24"/>
  <c r="AF18" i="24"/>
  <c r="AF19" i="24"/>
  <c r="AF20" i="24"/>
  <c r="AH13" i="24"/>
  <c r="AH14" i="24"/>
  <c r="AH15" i="24"/>
  <c r="AH16" i="24"/>
  <c r="AH17" i="24"/>
  <c r="AH18" i="24"/>
  <c r="AH19" i="24"/>
  <c r="AH20" i="24"/>
  <c r="AE13" i="24"/>
  <c r="AE14" i="24"/>
  <c r="AE15" i="24"/>
  <c r="AE16" i="24"/>
  <c r="AE17" i="24"/>
  <c r="AE18" i="24"/>
  <c r="AE19" i="24"/>
  <c r="AE20" i="24"/>
  <c r="AC13" i="24"/>
  <c r="AC14" i="24"/>
  <c r="AC15" i="24"/>
  <c r="AC16" i="24"/>
  <c r="AC17" i="24"/>
  <c r="AC18" i="24"/>
  <c r="AC19" i="24"/>
  <c r="AC20" i="24"/>
  <c r="S20" i="24"/>
  <c r="S13" i="24"/>
  <c r="O14" i="24"/>
  <c r="K15" i="24"/>
  <c r="K16" i="24"/>
  <c r="K19" i="24"/>
  <c r="G14" i="24"/>
  <c r="G15" i="24"/>
  <c r="G16" i="24"/>
  <c r="G17" i="24"/>
  <c r="G18" i="24"/>
  <c r="G19" i="24"/>
  <c r="G20" i="24"/>
  <c r="L45" i="27"/>
  <c r="AH29" i="27"/>
  <c r="AG29" i="27"/>
  <c r="AE29" i="27"/>
  <c r="AC29" i="27"/>
  <c r="AA29" i="27"/>
  <c r="Y29" i="27"/>
  <c r="X29" i="27"/>
  <c r="W29" i="27"/>
  <c r="U29" i="27"/>
  <c r="S29" i="27"/>
  <c r="Q29" i="27"/>
  <c r="O29" i="27"/>
  <c r="M29" i="27"/>
  <c r="J29" i="27"/>
  <c r="I25" i="27"/>
  <c r="I29" i="27" s="1"/>
  <c r="D12" i="27"/>
  <c r="D18" i="27" s="1"/>
  <c r="AD30" i="26"/>
  <c r="AC30" i="26"/>
  <c r="AA30" i="26"/>
  <c r="Y30" i="26"/>
  <c r="W30" i="26"/>
  <c r="U30" i="26"/>
  <c r="U31" i="26" s="1"/>
  <c r="C6" i="26" s="1"/>
  <c r="T30" i="26"/>
  <c r="S30" i="26"/>
  <c r="Q30" i="26"/>
  <c r="O30" i="26"/>
  <c r="M30" i="26"/>
  <c r="K30" i="26"/>
  <c r="G31" i="26" s="1"/>
  <c r="I30" i="26"/>
  <c r="G30" i="26"/>
  <c r="F26" i="26"/>
  <c r="F30" i="26" s="1"/>
  <c r="C13" i="26"/>
  <c r="C20" i="26" s="1"/>
  <c r="AE30" i="20"/>
  <c r="AD30" i="20"/>
  <c r="AB30" i="20"/>
  <c r="Z30" i="20"/>
  <c r="X30" i="20"/>
  <c r="V30" i="20"/>
  <c r="U30" i="20"/>
  <c r="T30" i="20"/>
  <c r="R30" i="20"/>
  <c r="P30" i="20"/>
  <c r="N30" i="20"/>
  <c r="L30" i="20"/>
  <c r="J30" i="20"/>
  <c r="H30" i="20"/>
  <c r="G26" i="20"/>
  <c r="G30" i="20" s="1"/>
  <c r="D13" i="20"/>
  <c r="D20" i="20" s="1"/>
  <c r="AE30" i="19"/>
  <c r="AD30" i="19"/>
  <c r="AB30" i="19"/>
  <c r="Z30" i="19"/>
  <c r="X30" i="19"/>
  <c r="V30" i="19"/>
  <c r="V31" i="19" s="1"/>
  <c r="U30" i="19"/>
  <c r="T30" i="19"/>
  <c r="R30" i="19"/>
  <c r="P30" i="19"/>
  <c r="N30" i="19"/>
  <c r="L30" i="19"/>
  <c r="J30" i="19"/>
  <c r="H30" i="19"/>
  <c r="H31" i="19" s="1"/>
  <c r="G26" i="19"/>
  <c r="G30" i="19" s="1"/>
  <c r="J30" i="18"/>
  <c r="T30" i="18"/>
  <c r="AD30" i="18"/>
  <c r="AE30" i="18"/>
  <c r="N30" i="18"/>
  <c r="L30" i="18"/>
  <c r="AE9" i="24"/>
  <c r="AJ12" i="24"/>
  <c r="AJ11" i="24"/>
  <c r="AJ10" i="24"/>
  <c r="AJ9" i="24"/>
  <c r="AJ8" i="24"/>
  <c r="AJ7" i="24"/>
  <c r="AJ6" i="24"/>
  <c r="AJ5" i="24"/>
  <c r="AJ4" i="24"/>
  <c r="AJ3" i="24"/>
  <c r="AI4" i="24"/>
  <c r="AI5" i="24"/>
  <c r="AI6" i="24"/>
  <c r="AI7" i="24"/>
  <c r="AI8" i="24"/>
  <c r="AI9" i="24"/>
  <c r="AI10" i="24"/>
  <c r="AI11" i="24"/>
  <c r="AI12" i="24"/>
  <c r="AI3" i="24"/>
  <c r="AH5" i="24"/>
  <c r="AH6" i="24"/>
  <c r="AH7" i="24"/>
  <c r="AH8" i="24"/>
  <c r="AH9" i="24"/>
  <c r="AH10" i="24"/>
  <c r="AH11" i="24"/>
  <c r="AH12" i="24"/>
  <c r="AH4" i="24"/>
  <c r="AH3" i="24"/>
  <c r="AC12" i="24"/>
  <c r="I20" i="24"/>
  <c r="E9" i="24"/>
  <c r="N20" i="24"/>
  <c r="J20" i="24"/>
  <c r="F20" i="24"/>
  <c r="N19" i="24"/>
  <c r="J19" i="24"/>
  <c r="F19" i="24"/>
  <c r="N12" i="24"/>
  <c r="J12" i="24"/>
  <c r="F12" i="24"/>
  <c r="AF12" i="24"/>
  <c r="AF11" i="24"/>
  <c r="N11" i="24"/>
  <c r="J11" i="24"/>
  <c r="F11" i="24"/>
  <c r="N10" i="24"/>
  <c r="J10" i="24"/>
  <c r="F10" i="24"/>
  <c r="AF10" i="24"/>
  <c r="AF9" i="24"/>
  <c r="N9" i="24"/>
  <c r="J9" i="24"/>
  <c r="F9" i="24"/>
  <c r="N8" i="24"/>
  <c r="J8" i="24"/>
  <c r="F8" i="24"/>
  <c r="AF8" i="24"/>
  <c r="AF7" i="24"/>
  <c r="N7" i="24"/>
  <c r="J7" i="24"/>
  <c r="F7" i="24"/>
  <c r="AF6" i="24"/>
  <c r="AC6" i="24"/>
  <c r="N6" i="24"/>
  <c r="J6" i="24"/>
  <c r="F6" i="24"/>
  <c r="AF5" i="24"/>
  <c r="AC5" i="24"/>
  <c r="N5" i="24"/>
  <c r="J5" i="24"/>
  <c r="F5" i="24"/>
  <c r="AF4" i="24"/>
  <c r="AC4" i="24"/>
  <c r="N4" i="24"/>
  <c r="J4" i="24"/>
  <c r="F4" i="24"/>
  <c r="AF3" i="24"/>
  <c r="AC3" i="24"/>
  <c r="N3" i="24"/>
  <c r="J3" i="24"/>
  <c r="F3" i="24"/>
  <c r="F3" i="21"/>
  <c r="G3" i="21"/>
  <c r="I3" i="21"/>
  <c r="J3" i="21"/>
  <c r="K3" i="21"/>
  <c r="M3" i="21"/>
  <c r="N3" i="21"/>
  <c r="AA3" i="21"/>
  <c r="AF3" i="21"/>
  <c r="E4" i="21"/>
  <c r="F4" i="21"/>
  <c r="G4" i="21"/>
  <c r="J4" i="21"/>
  <c r="K4" i="21"/>
  <c r="M4" i="21"/>
  <c r="N4" i="21"/>
  <c r="O4" i="21"/>
  <c r="Q4" i="21"/>
  <c r="S4" i="21"/>
  <c r="AA4" i="21"/>
  <c r="AC4" i="21"/>
  <c r="AE4" i="21"/>
  <c r="AF4" i="21"/>
  <c r="F5" i="21"/>
  <c r="G5" i="21"/>
  <c r="I5" i="21"/>
  <c r="J5" i="21"/>
  <c r="K5" i="21"/>
  <c r="M5" i="21"/>
  <c r="N5" i="21"/>
  <c r="AA5" i="21"/>
  <c r="AF5" i="21"/>
  <c r="E6" i="21"/>
  <c r="F6" i="21"/>
  <c r="G6" i="21"/>
  <c r="J6" i="21"/>
  <c r="K6" i="21"/>
  <c r="M6" i="21"/>
  <c r="N6" i="21"/>
  <c r="O6" i="21"/>
  <c r="Q6" i="21"/>
  <c r="S6" i="21"/>
  <c r="AA6" i="21"/>
  <c r="AC6" i="21"/>
  <c r="AE6" i="21"/>
  <c r="AF6" i="21"/>
  <c r="F7" i="21"/>
  <c r="G7" i="21"/>
  <c r="I7" i="21"/>
  <c r="J7" i="21"/>
  <c r="K7" i="21"/>
  <c r="M7" i="21"/>
  <c r="N7" i="21"/>
  <c r="AA7" i="21"/>
  <c r="AF7" i="21"/>
  <c r="B8" i="21"/>
  <c r="AF8" i="21" s="1"/>
  <c r="E8" i="21"/>
  <c r="F8" i="21"/>
  <c r="J8" i="21"/>
  <c r="K8" i="21"/>
  <c r="M8" i="21"/>
  <c r="N8" i="21"/>
  <c r="O8" i="21"/>
  <c r="Q8" i="21"/>
  <c r="AA8" i="21"/>
  <c r="AC8" i="21"/>
  <c r="AE8" i="21"/>
  <c r="B9" i="21"/>
  <c r="AF9" i="21" s="1"/>
  <c r="E9" i="21"/>
  <c r="F9" i="21"/>
  <c r="G9" i="21"/>
  <c r="I9" i="21"/>
  <c r="J9" i="21"/>
  <c r="N9" i="21"/>
  <c r="O9" i="21"/>
  <c r="Q9" i="21"/>
  <c r="S9" i="21"/>
  <c r="U9" i="21"/>
  <c r="AA9" i="21"/>
  <c r="AC9" i="21"/>
  <c r="AE9" i="21"/>
  <c r="B10" i="21"/>
  <c r="AF10" i="21" s="1"/>
  <c r="F10" i="21"/>
  <c r="G10" i="21"/>
  <c r="I10" i="21"/>
  <c r="J10" i="21"/>
  <c r="K10" i="21"/>
  <c r="M10" i="21"/>
  <c r="N10" i="21"/>
  <c r="AA10" i="21"/>
  <c r="AC10" i="21"/>
  <c r="B11" i="21"/>
  <c r="AF11" i="21" s="1"/>
  <c r="E11" i="21"/>
  <c r="F11" i="21"/>
  <c r="G11" i="21"/>
  <c r="J11" i="21"/>
  <c r="K11" i="21"/>
  <c r="M11" i="21"/>
  <c r="N11" i="21"/>
  <c r="O11" i="21"/>
  <c r="Q11" i="21"/>
  <c r="S11" i="21"/>
  <c r="AA11" i="21"/>
  <c r="AC11" i="21"/>
  <c r="AE11" i="21"/>
  <c r="B12" i="21"/>
  <c r="AF12" i="21" s="1"/>
  <c r="E12" i="21"/>
  <c r="F12" i="21"/>
  <c r="G12" i="21"/>
  <c r="I12" i="21"/>
  <c r="J12" i="21"/>
  <c r="K12" i="21"/>
  <c r="N12" i="21"/>
  <c r="AA12" i="21"/>
  <c r="B13" i="21"/>
  <c r="AF13" i="21" s="1"/>
  <c r="E13" i="21"/>
  <c r="F13" i="21"/>
  <c r="I13" i="21"/>
  <c r="J13" i="21"/>
  <c r="K13" i="21"/>
  <c r="M13" i="21"/>
  <c r="N13" i="21"/>
  <c r="O13" i="21"/>
  <c r="AA13" i="21"/>
  <c r="AC13" i="21"/>
  <c r="AE13" i="21"/>
  <c r="B14" i="21"/>
  <c r="AF14" i="21" s="1"/>
  <c r="E14" i="21"/>
  <c r="F14" i="21"/>
  <c r="G14" i="21"/>
  <c r="I14" i="21"/>
  <c r="J14" i="21"/>
  <c r="N14" i="21"/>
  <c r="O14" i="21"/>
  <c r="Q14" i="21"/>
  <c r="S14" i="21"/>
  <c r="U14" i="21"/>
  <c r="AA14" i="21"/>
  <c r="AC14" i="21"/>
  <c r="AE14" i="21"/>
  <c r="D15" i="21"/>
  <c r="G8" i="21"/>
  <c r="H15" i="21"/>
  <c r="I4" i="21"/>
  <c r="L15" i="21"/>
  <c r="O10" i="21"/>
  <c r="P15" i="21"/>
  <c r="Q13" i="21"/>
  <c r="R15" i="21"/>
  <c r="S8" i="21"/>
  <c r="T15" i="21"/>
  <c r="U4" i="21"/>
  <c r="V15" i="21"/>
  <c r="W14" i="21"/>
  <c r="X15" i="21"/>
  <c r="Y9" i="21"/>
  <c r="Z15" i="21"/>
  <c r="AB15" i="21"/>
  <c r="AC3" i="21"/>
  <c r="AD15" i="21"/>
  <c r="AE10" i="21"/>
  <c r="S4" i="24"/>
  <c r="E10" i="24"/>
  <c r="E11" i="24"/>
  <c r="G9" i="24"/>
  <c r="E6" i="24"/>
  <c r="G3" i="24"/>
  <c r="G6" i="24"/>
  <c r="G8" i="24"/>
  <c r="G4" i="24"/>
  <c r="S9" i="24"/>
  <c r="E12" i="24"/>
  <c r="Y12" i="21"/>
  <c r="W9" i="21"/>
  <c r="Y3" i="21"/>
  <c r="W12" i="21"/>
  <c r="W5" i="21"/>
  <c r="W3" i="21"/>
  <c r="U3" i="21"/>
  <c r="W13" i="21"/>
  <c r="Q12" i="21"/>
  <c r="S5" i="21"/>
  <c r="M14" i="21"/>
  <c r="U13" i="21"/>
  <c r="O12" i="21"/>
  <c r="Y11" i="21"/>
  <c r="S10" i="21"/>
  <c r="Y6" i="21"/>
  <c r="Q5" i="21"/>
  <c r="Y14" i="21"/>
  <c r="K14" i="21"/>
  <c r="S13" i="21"/>
  <c r="G13" i="21"/>
  <c r="AC12" i="21"/>
  <c r="W11" i="21"/>
  <c r="Q10" i="21"/>
  <c r="M9" i="21"/>
  <c r="U8" i="21"/>
  <c r="I8" i="21"/>
  <c r="AE7" i="21"/>
  <c r="O7" i="21"/>
  <c r="E7" i="21"/>
  <c r="W6" i="21"/>
  <c r="AE5" i="21"/>
  <c r="O5" i="21"/>
  <c r="E5" i="21"/>
  <c r="W4" i="21"/>
  <c r="AE3" i="21"/>
  <c r="O3" i="21"/>
  <c r="E3" i="21"/>
  <c r="Y7" i="21"/>
  <c r="Y5" i="21"/>
  <c r="U12" i="21"/>
  <c r="Y10" i="21"/>
  <c r="W7" i="21"/>
  <c r="Y13" i="21"/>
  <c r="S12" i="21"/>
  <c r="W10" i="21"/>
  <c r="U7" i="21"/>
  <c r="U5" i="21"/>
  <c r="U10" i="21"/>
  <c r="Y8" i="21"/>
  <c r="S7" i="21"/>
  <c r="S3" i="21"/>
  <c r="AE12" i="21"/>
  <c r="W8" i="21"/>
  <c r="Q7" i="21"/>
  <c r="Y4" i="21"/>
  <c r="Q3" i="21"/>
  <c r="M12" i="21"/>
  <c r="U11" i="21"/>
  <c r="I11" i="21"/>
  <c r="E10" i="21"/>
  <c r="K9" i="21"/>
  <c r="AC7" i="21"/>
  <c r="U6" i="21"/>
  <c r="I6" i="21"/>
  <c r="AC5" i="21"/>
  <c r="AB30" i="18"/>
  <c r="Z30" i="18"/>
  <c r="X30" i="18"/>
  <c r="V30" i="18"/>
  <c r="U30" i="18"/>
  <c r="R30" i="18"/>
  <c r="P30" i="18"/>
  <c r="H30" i="18"/>
  <c r="H31" i="18" s="1"/>
  <c r="G26" i="18"/>
  <c r="G30" i="18" s="1"/>
  <c r="V36" i="17"/>
  <c r="V5" i="17"/>
  <c r="T36" i="17"/>
  <c r="T5" i="17"/>
  <c r="R36" i="17"/>
  <c r="R5" i="17"/>
  <c r="P36" i="17"/>
  <c r="P5" i="17"/>
  <c r="N36" i="17"/>
  <c r="M36" i="17"/>
  <c r="M5" i="17"/>
  <c r="K36" i="17"/>
  <c r="K5" i="17"/>
  <c r="I36" i="17"/>
  <c r="G36" i="17"/>
  <c r="G5" i="17"/>
  <c r="F31" i="17"/>
  <c r="F35" i="17"/>
  <c r="X4" i="17"/>
  <c r="V36" i="14"/>
  <c r="V5" i="14"/>
  <c r="T36" i="14"/>
  <c r="T5" i="14"/>
  <c r="R36" i="14"/>
  <c r="P36" i="14"/>
  <c r="P5" i="14"/>
  <c r="N36" i="14"/>
  <c r="N5" i="14"/>
  <c r="M36" i="14"/>
  <c r="G37" i="14"/>
  <c r="K36" i="14"/>
  <c r="K5" i="14"/>
  <c r="I36" i="14"/>
  <c r="G36" i="14"/>
  <c r="H38" i="13"/>
  <c r="J37" i="13"/>
  <c r="G37" i="12"/>
  <c r="J36" i="12"/>
  <c r="X4" i="14"/>
  <c r="F31" i="14"/>
  <c r="F35" i="14"/>
  <c r="G5" i="14"/>
  <c r="M5" i="14"/>
  <c r="G32" i="13"/>
  <c r="G36" i="13"/>
  <c r="W37" i="13"/>
  <c r="U37" i="13"/>
  <c r="S37" i="13"/>
  <c r="Q37" i="13"/>
  <c r="O37" i="13"/>
  <c r="N37" i="13"/>
  <c r="L37" i="13"/>
  <c r="H37" i="13"/>
  <c r="F33" i="12"/>
  <c r="F35" i="12"/>
  <c r="T36" i="12"/>
  <c r="P36" i="12"/>
  <c r="K36" i="12"/>
  <c r="V36" i="12"/>
  <c r="R36" i="12"/>
  <c r="N36" i="12"/>
  <c r="M36" i="12"/>
  <c r="G36" i="12"/>
  <c r="T29" i="11"/>
  <c r="F26" i="11"/>
  <c r="C7" i="11"/>
  <c r="Q26" i="11"/>
  <c r="N26" i="11"/>
  <c r="L26" i="11"/>
  <c r="J26" i="11"/>
  <c r="C4" i="11"/>
  <c r="G26" i="11"/>
  <c r="T28" i="10"/>
  <c r="Q25" i="10"/>
  <c r="N25" i="10"/>
  <c r="L25" i="10"/>
  <c r="J25" i="10"/>
  <c r="G25" i="10"/>
  <c r="F25" i="10"/>
  <c r="C6" i="10"/>
  <c r="T29" i="7"/>
  <c r="T28" i="5"/>
  <c r="O38" i="13"/>
  <c r="D8" i="13"/>
  <c r="C5" i="11"/>
  <c r="C6" i="11"/>
  <c r="C8" i="11"/>
  <c r="G27" i="11"/>
  <c r="E26" i="11"/>
  <c r="C4" i="10"/>
  <c r="C5" i="10"/>
  <c r="C7" i="10"/>
  <c r="G26" i="10"/>
  <c r="E25" i="10"/>
  <c r="Q26" i="7"/>
  <c r="N26" i="7"/>
  <c r="L26" i="7"/>
  <c r="J26" i="7"/>
  <c r="G26" i="7"/>
  <c r="F26" i="7"/>
  <c r="C7" i="7"/>
  <c r="Q26" i="5"/>
  <c r="N26" i="5"/>
  <c r="C4" i="5"/>
  <c r="L26" i="5"/>
  <c r="J26" i="5"/>
  <c r="G26" i="5"/>
  <c r="F26" i="5"/>
  <c r="C6" i="5"/>
  <c r="C5" i="7"/>
  <c r="G27" i="7"/>
  <c r="E26" i="7"/>
  <c r="C6" i="7"/>
  <c r="C8" i="7"/>
  <c r="C3" i="5"/>
  <c r="G27" i="5"/>
  <c r="E26" i="5"/>
  <c r="C5" i="5"/>
  <c r="C7" i="5"/>
  <c r="N37" i="17"/>
  <c r="C5" i="17"/>
  <c r="N5" i="17"/>
  <c r="G37" i="17"/>
  <c r="N37" i="14"/>
  <c r="G38" i="14"/>
  <c r="C4" i="14"/>
  <c r="D7" i="13"/>
  <c r="D9" i="13"/>
  <c r="H39" i="13"/>
  <c r="G37" i="13"/>
  <c r="D10" i="13"/>
  <c r="N37" i="12"/>
  <c r="C7" i="12"/>
  <c r="C6" i="12"/>
  <c r="C8" i="12"/>
  <c r="R5" i="14"/>
  <c r="G38" i="17"/>
  <c r="F36" i="17"/>
  <c r="C7" i="17"/>
  <c r="C4" i="17"/>
  <c r="C6" i="17"/>
  <c r="C5" i="14"/>
  <c r="G38" i="12"/>
  <c r="F36" i="12"/>
  <c r="C9" i="12"/>
  <c r="F36" i="14"/>
  <c r="C7" i="14"/>
  <c r="C6" i="14"/>
  <c r="I10" i="24"/>
  <c r="I11" i="24"/>
  <c r="K10" i="24"/>
  <c r="S10" i="24"/>
  <c r="I19" i="24"/>
  <c r="G10" i="24"/>
  <c r="E7" i="24"/>
  <c r="E20" i="24"/>
  <c r="E4" i="24"/>
  <c r="S6" i="24"/>
  <c r="I3" i="24"/>
  <c r="AC7" i="24"/>
  <c r="O8" i="24"/>
  <c r="AC11" i="24"/>
  <c r="E19" i="24"/>
  <c r="S12" i="24"/>
  <c r="I5" i="24"/>
  <c r="AE7" i="24"/>
  <c r="AC9" i="24"/>
  <c r="E5" i="24"/>
  <c r="G12" i="24"/>
  <c r="E3" i="24"/>
  <c r="S8" i="24"/>
  <c r="K4" i="24"/>
  <c r="AC8" i="24"/>
  <c r="AC10" i="24"/>
  <c r="G7" i="24"/>
  <c r="E8" i="24"/>
  <c r="G5" i="24"/>
  <c r="G11" i="24"/>
  <c r="K7" i="24"/>
  <c r="I7" i="24"/>
  <c r="K8" i="24"/>
  <c r="K12" i="24"/>
  <c r="AE12" i="24"/>
  <c r="K9" i="24"/>
  <c r="I9" i="24"/>
  <c r="K3" i="24"/>
  <c r="AE3" i="24"/>
  <c r="I6" i="24"/>
  <c r="K11" i="24"/>
  <c r="K5" i="24"/>
  <c r="AE4" i="24"/>
  <c r="I8" i="24"/>
  <c r="AE8" i="24"/>
  <c r="I12" i="24"/>
  <c r="I4" i="24"/>
  <c r="K6" i="24"/>
  <c r="AA14" i="24" l="1"/>
  <c r="AA8" i="24"/>
  <c r="AA16" i="24"/>
  <c r="AA6" i="24"/>
  <c r="AA7" i="24"/>
  <c r="AA15" i="24"/>
  <c r="AA9" i="24"/>
  <c r="AA17" i="24"/>
  <c r="AA5" i="24"/>
  <c r="AA12" i="24"/>
  <c r="AA20" i="24"/>
  <c r="AA4" i="24"/>
  <c r="AA13" i="24"/>
  <c r="AA10" i="24"/>
  <c r="AA18" i="24"/>
  <c r="AA3" i="24"/>
  <c r="AA11" i="24"/>
  <c r="E7" i="34"/>
  <c r="K32" i="34"/>
  <c r="J31" i="34" s="1"/>
  <c r="E8" i="34" s="1"/>
  <c r="AA31" i="33"/>
  <c r="F6" i="33" s="1"/>
  <c r="L31" i="33"/>
  <c r="F5" i="33" s="1"/>
  <c r="Y10" i="24"/>
  <c r="Y11" i="24"/>
  <c r="Y19" i="24"/>
  <c r="Y18" i="24"/>
  <c r="Y17" i="24"/>
  <c r="Y9" i="24"/>
  <c r="Y16" i="24"/>
  <c r="Y15" i="24"/>
  <c r="Y4" i="24"/>
  <c r="Y12" i="24"/>
  <c r="Y14" i="24"/>
  <c r="Y13" i="24"/>
  <c r="Y31" i="32"/>
  <c r="D6" i="32" s="1"/>
  <c r="W18" i="24"/>
  <c r="W7" i="24"/>
  <c r="W14" i="24"/>
  <c r="W8" i="24"/>
  <c r="W19" i="24"/>
  <c r="W9" i="24"/>
  <c r="W16" i="24"/>
  <c r="W17" i="24"/>
  <c r="W6" i="24"/>
  <c r="W15" i="24"/>
  <c r="W13" i="24"/>
  <c r="W12" i="24"/>
  <c r="Y31" i="31"/>
  <c r="D6" i="31" s="1"/>
  <c r="J31" i="32"/>
  <c r="AF15" i="21"/>
  <c r="B15" i="21"/>
  <c r="U20" i="24"/>
  <c r="U8" i="24"/>
  <c r="U12" i="24"/>
  <c r="U19" i="24"/>
  <c r="U9" i="24"/>
  <c r="U10" i="24"/>
  <c r="U11" i="24"/>
  <c r="U4" i="24"/>
  <c r="U7" i="24"/>
  <c r="U5" i="24"/>
  <c r="U6" i="24"/>
  <c r="U3" i="24"/>
  <c r="U16" i="24"/>
  <c r="U15" i="24"/>
  <c r="U14" i="24"/>
  <c r="S17" i="24"/>
  <c r="S18" i="24"/>
  <c r="S16" i="24"/>
  <c r="S14" i="24"/>
  <c r="S15" i="24"/>
  <c r="S5" i="24"/>
  <c r="S19" i="24"/>
  <c r="Y31" i="30"/>
  <c r="D6" i="30" s="1"/>
  <c r="J31" i="31"/>
  <c r="D5" i="31" s="1"/>
  <c r="J31" i="30"/>
  <c r="D5" i="30" s="1"/>
  <c r="Y29" i="29"/>
  <c r="D4" i="29" s="1"/>
  <c r="J29" i="29"/>
  <c r="Z31" i="28"/>
  <c r="E6" i="28" s="1"/>
  <c r="Q14" i="24"/>
  <c r="Q12" i="24"/>
  <c r="Q20" i="24"/>
  <c r="Q5" i="24"/>
  <c r="Q19" i="24"/>
  <c r="Q3" i="24"/>
  <c r="Q18" i="24"/>
  <c r="Q13" i="24"/>
  <c r="Q8" i="24"/>
  <c r="Q17" i="24"/>
  <c r="Q15" i="24"/>
  <c r="K31" i="28"/>
  <c r="V31" i="20"/>
  <c r="H31" i="20"/>
  <c r="M15" i="24"/>
  <c r="O16" i="24"/>
  <c r="O15" i="24"/>
  <c r="K17" i="24"/>
  <c r="K14" i="24"/>
  <c r="K13" i="24"/>
  <c r="K20" i="24"/>
  <c r="I13" i="24"/>
  <c r="U13" i="24"/>
  <c r="U18" i="24"/>
  <c r="O17" i="24"/>
  <c r="M14" i="24"/>
  <c r="M18" i="24"/>
  <c r="O20" i="24"/>
  <c r="O5" i="24"/>
  <c r="M16" i="24"/>
  <c r="O19" i="24"/>
  <c r="M13" i="24"/>
  <c r="M17" i="24"/>
  <c r="O13" i="24"/>
  <c r="C4" i="24"/>
  <c r="C7" i="24"/>
  <c r="C5" i="24"/>
  <c r="C19" i="24"/>
  <c r="C12" i="24"/>
  <c r="C3" i="24"/>
  <c r="C18" i="24"/>
  <c r="C16" i="24"/>
  <c r="C17" i="24"/>
  <c r="C8" i="24"/>
  <c r="C11" i="24"/>
  <c r="C15" i="24"/>
  <c r="C14" i="24"/>
  <c r="C13" i="24"/>
  <c r="C20" i="24"/>
  <c r="M8" i="24"/>
  <c r="O11" i="24"/>
  <c r="M11" i="24"/>
  <c r="O10" i="24"/>
  <c r="AE5" i="24"/>
  <c r="AI21" i="24"/>
  <c r="O4" i="24"/>
  <c r="C10" i="24"/>
  <c r="W5" i="24"/>
  <c r="M19" i="24"/>
  <c r="AE10" i="24"/>
  <c r="Y6" i="24"/>
  <c r="M4" i="24"/>
  <c r="S7" i="24"/>
  <c r="M10" i="24"/>
  <c r="O7" i="24"/>
  <c r="M6" i="24"/>
  <c r="AE11" i="24"/>
  <c r="Y3" i="24"/>
  <c r="C9" i="24"/>
  <c r="W4" i="24"/>
  <c r="Q6" i="24"/>
  <c r="Y5" i="24"/>
  <c r="O12" i="24"/>
  <c r="W11" i="24"/>
  <c r="M9" i="24"/>
  <c r="AJ21" i="24"/>
  <c r="M5" i="24"/>
  <c r="O9" i="24"/>
  <c r="Y7" i="24"/>
  <c r="O6" i="24"/>
  <c r="Y8" i="24"/>
  <c r="AE6" i="24"/>
  <c r="O3" i="24"/>
  <c r="S11" i="24"/>
  <c r="W3" i="24"/>
  <c r="M7" i="24"/>
  <c r="W10" i="24"/>
  <c r="AH21" i="24"/>
  <c r="M20" i="24"/>
  <c r="M12" i="24"/>
  <c r="AF21" i="24"/>
  <c r="AG18" i="24" s="1"/>
  <c r="Y30" i="27"/>
  <c r="D5" i="27" s="1"/>
  <c r="J30" i="27"/>
  <c r="G32" i="26"/>
  <c r="F31" i="26" s="1"/>
  <c r="C8" i="26" s="1"/>
  <c r="C5" i="26"/>
  <c r="C7" i="26" s="1"/>
  <c r="H32" i="20"/>
  <c r="D5" i="20"/>
  <c r="G31" i="20"/>
  <c r="D6" i="20"/>
  <c r="H32" i="19"/>
  <c r="G31" i="19" s="1"/>
  <c r="D8" i="19" s="1"/>
  <c r="D5" i="19"/>
  <c r="D6" i="19"/>
  <c r="V31" i="18"/>
  <c r="D6" i="18" s="1"/>
  <c r="D5" i="18"/>
  <c r="Q10" i="24"/>
  <c r="Q7" i="24"/>
  <c r="Q4" i="24"/>
  <c r="Q11" i="24"/>
  <c r="Q9" i="24"/>
  <c r="M3" i="24"/>
  <c r="F7" i="33" l="1"/>
  <c r="L32" i="33"/>
  <c r="K31" i="33" s="1"/>
  <c r="F8" i="33" s="1"/>
  <c r="J32" i="32"/>
  <c r="I31" i="32" s="1"/>
  <c r="D8" i="32" s="1"/>
  <c r="D7" i="31"/>
  <c r="D5" i="32"/>
  <c r="D7" i="32" s="1"/>
  <c r="J32" i="31"/>
  <c r="I31" i="31" s="1"/>
  <c r="D8" i="31" s="1"/>
  <c r="C3" i="21"/>
  <c r="C9" i="21"/>
  <c r="C10" i="21"/>
  <c r="C4" i="21"/>
  <c r="C6" i="21"/>
  <c r="C8" i="21"/>
  <c r="C5" i="21"/>
  <c r="C7" i="21"/>
  <c r="C13" i="21"/>
  <c r="C12" i="21"/>
  <c r="C14" i="21"/>
  <c r="C11" i="21"/>
  <c r="AG12" i="21"/>
  <c r="AG3" i="21"/>
  <c r="AG8" i="21"/>
  <c r="AG5" i="21"/>
  <c r="AG7" i="21"/>
  <c r="AG13" i="21"/>
  <c r="AG6" i="21"/>
  <c r="AG9" i="21"/>
  <c r="AG4" i="21"/>
  <c r="AG10" i="21"/>
  <c r="AG11" i="21"/>
  <c r="AG14" i="21"/>
  <c r="J32" i="30"/>
  <c r="I31" i="30" s="1"/>
  <c r="D8" i="30" s="1"/>
  <c r="D7" i="30"/>
  <c r="J30" i="29"/>
  <c r="I29" i="29" s="1"/>
  <c r="D6" i="29" s="1"/>
  <c r="D3" i="29"/>
  <c r="D5" i="29" s="1"/>
  <c r="K32" i="28"/>
  <c r="J31" i="28" s="1"/>
  <c r="E8" i="28" s="1"/>
  <c r="E5" i="28"/>
  <c r="E7" i="28" s="1"/>
  <c r="AG12" i="24"/>
  <c r="AG3" i="24"/>
  <c r="AG4" i="24"/>
  <c r="AG13" i="24"/>
  <c r="AG16" i="24"/>
  <c r="AG14" i="24"/>
  <c r="AG15" i="24"/>
  <c r="AG20" i="24"/>
  <c r="AG10" i="24"/>
  <c r="AG17" i="24"/>
  <c r="AG8" i="24"/>
  <c r="AG19" i="24"/>
  <c r="AG9" i="24"/>
  <c r="AG11" i="24"/>
  <c r="AG6" i="24"/>
  <c r="AG7" i="24"/>
  <c r="AG5" i="24"/>
  <c r="J31" i="27"/>
  <c r="I30" i="27" s="1"/>
  <c r="D7" i="27" s="1"/>
  <c r="D4" i="27"/>
  <c r="D6" i="27" s="1"/>
  <c r="D8" i="20"/>
  <c r="D7" i="20"/>
  <c r="D7" i="19"/>
  <c r="D7" i="18"/>
  <c r="H32" i="18"/>
  <c r="G31" i="18" s="1"/>
  <c r="D8" i="18" s="1"/>
</calcChain>
</file>

<file path=xl/sharedStrings.xml><?xml version="1.0" encoding="utf-8"?>
<sst xmlns="http://schemas.openxmlformats.org/spreadsheetml/2006/main" count="2475" uniqueCount="751">
  <si>
    <t>GERAL</t>
  </si>
  <si>
    <t>FIXOS</t>
  </si>
  <si>
    <t>MAIO</t>
  </si>
  <si>
    <t>EXTRA</t>
  </si>
  <si>
    <t>GANHOS</t>
  </si>
  <si>
    <t>MENSAL</t>
  </si>
  <si>
    <t>WHAT</t>
  </si>
  <si>
    <t>€</t>
  </si>
  <si>
    <t>MAIS</t>
  </si>
  <si>
    <t>COMIDA</t>
  </si>
  <si>
    <t>SAÍDAS</t>
  </si>
  <si>
    <t>PARA MIM</t>
  </si>
  <si>
    <t>GANHO</t>
  </si>
  <si>
    <t>Fundo desemprego</t>
  </si>
  <si>
    <t>DAY</t>
  </si>
  <si>
    <t>SPEND IN</t>
  </si>
  <si>
    <t>SAFE</t>
  </si>
  <si>
    <t>Uni</t>
  </si>
  <si>
    <t>2\5</t>
  </si>
  <si>
    <t>telemovel</t>
  </si>
  <si>
    <t>28\4</t>
  </si>
  <si>
    <t>30\4</t>
  </si>
  <si>
    <t>celeiro (óleos, valeriana)</t>
  </si>
  <si>
    <t>IKEA</t>
  </si>
  <si>
    <t>Crypto\Revo</t>
  </si>
  <si>
    <t xml:space="preserve">bikini </t>
  </si>
  <si>
    <t>1\5</t>
  </si>
  <si>
    <t>aniversário leo</t>
  </si>
  <si>
    <t>Banco \ Safes</t>
  </si>
  <si>
    <t>GYM</t>
  </si>
  <si>
    <t>6\5</t>
  </si>
  <si>
    <t>17\5</t>
  </si>
  <si>
    <t>wells</t>
  </si>
  <si>
    <t>prenda Leo</t>
  </si>
  <si>
    <t>IRS</t>
  </si>
  <si>
    <t>3\5</t>
  </si>
  <si>
    <t>Casa</t>
  </si>
  <si>
    <t>9\5</t>
  </si>
  <si>
    <t>22\5</t>
  </si>
  <si>
    <t>Stradivarius</t>
  </si>
  <si>
    <t>Spotify 3 meses</t>
  </si>
  <si>
    <t>4\5</t>
  </si>
  <si>
    <t>Gasolina</t>
  </si>
  <si>
    <t>12\5</t>
  </si>
  <si>
    <t>5\5</t>
  </si>
  <si>
    <t>Veterinário Bali</t>
  </si>
  <si>
    <t>15\5</t>
  </si>
  <si>
    <t>8\5</t>
  </si>
  <si>
    <t xml:space="preserve">comida bali + pendente </t>
  </si>
  <si>
    <t>16\5</t>
  </si>
  <si>
    <t>13\5</t>
  </si>
  <si>
    <t>chinês - fogareiro</t>
  </si>
  <si>
    <t>18\5</t>
  </si>
  <si>
    <t xml:space="preserve">comida bali </t>
  </si>
  <si>
    <t>20\5</t>
  </si>
  <si>
    <t>7\5</t>
  </si>
  <si>
    <t>19\5</t>
  </si>
  <si>
    <t>carro</t>
  </si>
  <si>
    <t>11\5</t>
  </si>
  <si>
    <t>14\5</t>
  </si>
  <si>
    <t>23\5</t>
  </si>
  <si>
    <t>Jantar João</t>
  </si>
  <si>
    <t xml:space="preserve">NEXT GOAL </t>
  </si>
  <si>
    <t>JUNHO</t>
  </si>
  <si>
    <t>26\5</t>
  </si>
  <si>
    <t>28\5</t>
  </si>
  <si>
    <t>12\6</t>
  </si>
  <si>
    <t>Bikkini</t>
  </si>
  <si>
    <t>27\5</t>
  </si>
  <si>
    <t>Trela Bali</t>
  </si>
  <si>
    <t>Rev</t>
  </si>
  <si>
    <t xml:space="preserve">Despesas </t>
  </si>
  <si>
    <t>31\5</t>
  </si>
  <si>
    <t>22\6</t>
  </si>
  <si>
    <t>Livro</t>
  </si>
  <si>
    <t>2\6</t>
  </si>
  <si>
    <t>Veterinário</t>
  </si>
  <si>
    <t>29\5</t>
  </si>
  <si>
    <t>11\6</t>
  </si>
  <si>
    <t>15\6</t>
  </si>
  <si>
    <t>3\6</t>
  </si>
  <si>
    <t>ZZZClub</t>
  </si>
  <si>
    <t>Telemóvel</t>
  </si>
  <si>
    <t>10\6</t>
  </si>
  <si>
    <t>21\6</t>
  </si>
  <si>
    <t>6\6</t>
  </si>
  <si>
    <t>Portagens</t>
  </si>
  <si>
    <t>8\6</t>
  </si>
  <si>
    <t>7\6</t>
  </si>
  <si>
    <t>youtube</t>
  </si>
  <si>
    <t>24\6</t>
  </si>
  <si>
    <t>16\6</t>
  </si>
  <si>
    <t>apartamento</t>
  </si>
  <si>
    <t>18\6</t>
  </si>
  <si>
    <t>20\6</t>
  </si>
  <si>
    <t>NEXT GOAL</t>
  </si>
  <si>
    <t>JULHO</t>
  </si>
  <si>
    <t>27\6</t>
  </si>
  <si>
    <t>29\6</t>
  </si>
  <si>
    <t>3\7</t>
  </si>
  <si>
    <t>sandalias</t>
  </si>
  <si>
    <t>28\6</t>
  </si>
  <si>
    <t xml:space="preserve">Carlos </t>
  </si>
  <si>
    <t>30\6</t>
  </si>
  <si>
    <t xml:space="preserve">Almofada praia </t>
  </si>
  <si>
    <t>Soraia</t>
  </si>
  <si>
    <t>1\7</t>
  </si>
  <si>
    <t>9\7</t>
  </si>
  <si>
    <t>Capa pc</t>
  </si>
  <si>
    <t>4\7</t>
  </si>
  <si>
    <t>praia</t>
  </si>
  <si>
    <t>2\7</t>
  </si>
  <si>
    <t>Bills</t>
  </si>
  <si>
    <t>11\7</t>
  </si>
  <si>
    <t>23\7</t>
  </si>
  <si>
    <t>Praça</t>
  </si>
  <si>
    <t>22\7</t>
  </si>
  <si>
    <t>quisoque</t>
  </si>
  <si>
    <t>7\7</t>
  </si>
  <si>
    <t>Barkyn</t>
  </si>
  <si>
    <t>8\7</t>
  </si>
  <si>
    <t>chinês</t>
  </si>
  <si>
    <t>10\7</t>
  </si>
  <si>
    <t>19\7</t>
  </si>
  <si>
    <t>AGOSTO</t>
  </si>
  <si>
    <t>MAIS (60%)</t>
  </si>
  <si>
    <t>COMIDA (40%)</t>
  </si>
  <si>
    <t>SAÍDAS (10%)</t>
  </si>
  <si>
    <t>PARA MIM (34%)</t>
  </si>
  <si>
    <t>ETC (56%)</t>
  </si>
  <si>
    <t>28\7</t>
  </si>
  <si>
    <t>7\8</t>
  </si>
  <si>
    <t>Roupa (Oysho)</t>
  </si>
  <si>
    <t>BI</t>
  </si>
  <si>
    <t>Tabaco (blue)</t>
  </si>
  <si>
    <t>Livro Soraia</t>
  </si>
  <si>
    <t>Despesas</t>
  </si>
  <si>
    <t>Fones (sem fios)</t>
  </si>
  <si>
    <t>Levantamento</t>
  </si>
  <si>
    <t>1\8</t>
  </si>
  <si>
    <t>Telemovel</t>
  </si>
  <si>
    <t>Livro (quadrante)</t>
  </si>
  <si>
    <t>Anos Soraia</t>
  </si>
  <si>
    <t>gasolina</t>
  </si>
  <si>
    <t>Prenda mae</t>
  </si>
  <si>
    <t>Café</t>
  </si>
  <si>
    <t>Levantamento + tabaco</t>
  </si>
  <si>
    <t>GOALS</t>
  </si>
  <si>
    <t>Conseguir fazer o rastreio do que estou a gastar a mais na secção da comida.</t>
  </si>
  <si>
    <t>SETEMBRO</t>
  </si>
  <si>
    <t>FIXO</t>
  </si>
  <si>
    <t>O que não dá para deixar de gastar</t>
  </si>
  <si>
    <t>€ ENTROU</t>
  </si>
  <si>
    <t>FIXAS</t>
  </si>
  <si>
    <t>GERAIS</t>
  </si>
  <si>
    <t>Renda</t>
  </si>
  <si>
    <t>CASA</t>
  </si>
  <si>
    <t>CARRO</t>
  </si>
  <si>
    <t>ÚTEIS</t>
  </si>
  <si>
    <t>OUT</t>
  </si>
  <si>
    <t>COMER FORA</t>
  </si>
  <si>
    <t>MIM</t>
  </si>
  <si>
    <t>Educação</t>
  </si>
  <si>
    <t>ETC</t>
  </si>
  <si>
    <t>Despesas casa</t>
  </si>
  <si>
    <t>Àgua, Luz, Gás</t>
  </si>
  <si>
    <t>descrição</t>
  </si>
  <si>
    <t>Renda casa</t>
  </si>
  <si>
    <t xml:space="preserve">Escova de dentes + pasta </t>
  </si>
  <si>
    <t>tabaco</t>
  </si>
  <si>
    <t>Jantar de anos joão (paguei o meu e o dele)</t>
  </si>
  <si>
    <t>Curso Rocketfuel (metade com o joia)</t>
  </si>
  <si>
    <t>autocarro Lisboa</t>
  </si>
  <si>
    <t>Carro</t>
  </si>
  <si>
    <t>Gastos com arranjos, etc</t>
  </si>
  <si>
    <t>Mês Anterior</t>
  </si>
  <si>
    <t>Despesas (água, luz, gás)</t>
  </si>
  <si>
    <t>Gasoleo Carlos</t>
  </si>
  <si>
    <t>Detergente roupa</t>
  </si>
  <si>
    <t>Café Laura Mogno</t>
  </si>
  <si>
    <t>Tosta Praia de Faro</t>
  </si>
  <si>
    <t xml:space="preserve">Guide to invest Robert </t>
  </si>
  <si>
    <t>Veterinário (dividi com o joia)</t>
  </si>
  <si>
    <t>Tarifário</t>
  </si>
  <si>
    <t>Revolut</t>
  </si>
  <si>
    <t>Telemovel (tarifário)</t>
  </si>
  <si>
    <t>Medidor liquidos cozinha</t>
  </si>
  <si>
    <t>Sushi</t>
  </si>
  <si>
    <t>Monopoly</t>
  </si>
  <si>
    <t>Combustivel Carlos para Lisboa</t>
  </si>
  <si>
    <t>ÙTEIS</t>
  </si>
  <si>
    <t>Tudo o que compro no super e não é comida.</t>
  </si>
  <si>
    <t>Oleo de Lavanda</t>
  </si>
  <si>
    <t>Salada em Lisboa</t>
  </si>
  <si>
    <t>Portagens caravana Laura</t>
  </si>
  <si>
    <t>Higiene</t>
  </si>
  <si>
    <t>Gel de banho, cresmes, shampoo</t>
  </si>
  <si>
    <t>Cookies Bali</t>
  </si>
  <si>
    <t xml:space="preserve">cerveja </t>
  </si>
  <si>
    <t>Sandes Lisboa</t>
  </si>
  <si>
    <t xml:space="preserve">Pulseiras Leo </t>
  </si>
  <si>
    <t>Animais</t>
  </si>
  <si>
    <t>Comida, brinquedos, areia</t>
  </si>
  <si>
    <t>Limpa Gordura</t>
  </si>
  <si>
    <t>Produtos limpeza</t>
  </si>
  <si>
    <t>Para a casa, limpa vidros, detergente roupa</t>
  </si>
  <si>
    <t>Pneus e luzes carro</t>
  </si>
  <si>
    <t>Milfontes: 100 euros</t>
  </si>
  <si>
    <t>Utensilios de cozinha</t>
  </si>
  <si>
    <t>Panelas, frigideira, talheres</t>
  </si>
  <si>
    <t>Tudo o que é comida</t>
  </si>
  <si>
    <t>Alojamento</t>
  </si>
  <si>
    <t>Comida que compro e como em casa (compras no supermercado)</t>
  </si>
  <si>
    <t>Tattoo</t>
  </si>
  <si>
    <t>TABACO, cafés (fora de casa), bares, cervejas (fora de casa), gelados (fora de casa)</t>
  </si>
  <si>
    <t>Mercado</t>
  </si>
  <si>
    <t>COMER</t>
  </si>
  <si>
    <t>Restaurantes, cafés, bares. Cervejas tudo o que como fora de casa, pequenos almoços</t>
  </si>
  <si>
    <t>Tabaco</t>
  </si>
  <si>
    <t xml:space="preserve">Coisas fisicas que são para mim e não são essenciais </t>
  </si>
  <si>
    <t>Roupa</t>
  </si>
  <si>
    <t>Cursos</t>
  </si>
  <si>
    <t>Livros</t>
  </si>
  <si>
    <t>O que levanto e não me lembro da razão de ter levantado</t>
  </si>
  <si>
    <t>NS</t>
  </si>
  <si>
    <t>Dinheiro que não sei</t>
  </si>
  <si>
    <t>Prendas</t>
  </si>
  <si>
    <t>TOTAL</t>
  </si>
  <si>
    <t>MEU \ SAFES</t>
  </si>
  <si>
    <t>P \ GASTAR</t>
  </si>
  <si>
    <t>SOBRA</t>
  </si>
  <si>
    <t>Diminuir os úteis, a higiene e descrever mais as compras de super que realmente são comida. Reduzir os ETC (saber mais pormenorizado onde gasto o dinheiro) e regular as prendas e extras</t>
  </si>
  <si>
    <t>DESCRIÇÂO</t>
  </si>
  <si>
    <t>OUTUBRO</t>
  </si>
  <si>
    <t xml:space="preserve">Dinheiro Geral </t>
  </si>
  <si>
    <t>Sacos coco Bali</t>
  </si>
  <si>
    <t>Catita</t>
  </si>
  <si>
    <t>Cuecas</t>
  </si>
  <si>
    <t>Curso trading (3x)</t>
  </si>
  <si>
    <t>Calças Leo</t>
  </si>
  <si>
    <t>Despesas (água, luz)</t>
  </si>
  <si>
    <t>Gasolina (13/10) enchi o depoísito</t>
  </si>
  <si>
    <t>Detergente, etc limpeza</t>
  </si>
  <si>
    <t xml:space="preserve">Cigarros </t>
  </si>
  <si>
    <t xml:space="preserve">Pequeno Almoço </t>
  </si>
  <si>
    <t>Staples Dossier</t>
  </si>
  <si>
    <t xml:space="preserve">Prenda para Bianca </t>
  </si>
  <si>
    <t xml:space="preserve">Governo </t>
  </si>
  <si>
    <t>Gasoleo (carro carlos)</t>
  </si>
  <si>
    <t>Brinquedos Bali</t>
  </si>
  <si>
    <t>Café Miguel no Forum</t>
  </si>
  <si>
    <t xml:space="preserve">Mexicano </t>
  </si>
  <si>
    <t>Flores soraia</t>
  </si>
  <si>
    <t>Soraia (dinheiro do BI)</t>
  </si>
  <si>
    <t>tv cabo</t>
  </si>
  <si>
    <t>snacks Bali</t>
  </si>
  <si>
    <t>Ciagrros</t>
  </si>
  <si>
    <t xml:space="preserve">Zippy prenda para Bianca </t>
  </si>
  <si>
    <t>Gás casa (dia 3\10)</t>
  </si>
  <si>
    <t xml:space="preserve">Sacos do lixo, rolos de cozinha e papel hidienico </t>
  </si>
  <si>
    <t>Binance (dinheiro para o curso)</t>
  </si>
  <si>
    <t>Luz</t>
  </si>
  <si>
    <t>Snacks Gato e Bali</t>
  </si>
  <si>
    <t>Carro (colocar pneus)</t>
  </si>
  <si>
    <t>Pasta de dentes</t>
  </si>
  <si>
    <t>Alcool catita</t>
  </si>
  <si>
    <t>Comida Bali</t>
  </si>
  <si>
    <t>Oculos de ver = 139E (pagar em 6x)</t>
  </si>
  <si>
    <t>Seguro do carro</t>
  </si>
  <si>
    <t>Coleira Bali</t>
  </si>
  <si>
    <t>CARIDADE</t>
  </si>
  <si>
    <t>ARMAZÉM</t>
  </si>
  <si>
    <t>A divisão do dinheiro está perfeito - quero implementar a "caridade" (se não faço caridade agora, não o farei quando tiver mais dinheiro - há quem tenha muito menos que eu, porque não ajudar enquanto posso?) Quero deixar de comprar recargas para cigarros e quero deixar de comer fora. também quero começar a colocar uma percentagem para "armazem" (que é dinheiro para comprar comida e sementes que ficam guardadas para ter algum armanezamento de comida)</t>
  </si>
  <si>
    <t>NOVEMBRO</t>
  </si>
  <si>
    <t>Orçamento</t>
  </si>
  <si>
    <t xml:space="preserve">Diferença </t>
  </si>
  <si>
    <t xml:space="preserve">Recebimento </t>
  </si>
  <si>
    <t>Cigarros</t>
  </si>
  <si>
    <t xml:space="preserve">Capa ipad e proteção do vidro </t>
  </si>
  <si>
    <t>Soraia (para pôr no cofre do BI)</t>
  </si>
  <si>
    <t>Pai (para o curso)</t>
  </si>
  <si>
    <t>cigarros</t>
  </si>
  <si>
    <t>vitaminas salada</t>
  </si>
  <si>
    <t xml:space="preserve">Procreate </t>
  </si>
  <si>
    <t>Trading view (13 meses)</t>
  </si>
  <si>
    <t>Prenda Natal Carlos (copo aliexpress)</t>
  </si>
  <si>
    <t>Comida Gato (4kg)</t>
  </si>
  <si>
    <t>Cafés</t>
  </si>
  <si>
    <t>notability</t>
  </si>
  <si>
    <t>Compra cabo adaptador HDMI</t>
  </si>
  <si>
    <t>Roupa Bali</t>
  </si>
  <si>
    <t>biscoitos Bali</t>
  </si>
  <si>
    <t xml:space="preserve">Brush procreate </t>
  </si>
  <si>
    <t>Calendário Leo</t>
  </si>
  <si>
    <t xml:space="preserve">areia gato </t>
  </si>
  <si>
    <t>calças vinted</t>
  </si>
  <si>
    <t>Restaurantes.tudo o que como fora de casa, pequenos almoços</t>
  </si>
  <si>
    <t>Inspecção + selo (guardar metade para o mês que vem)</t>
  </si>
  <si>
    <t>N/SEI</t>
  </si>
  <si>
    <t>DEZEMBRO</t>
  </si>
  <si>
    <t>Remédio pulgas Bali (bravecto)</t>
  </si>
  <si>
    <t>Cabeleireiro</t>
  </si>
  <si>
    <t xml:space="preserve">bicicleta </t>
  </si>
  <si>
    <t>Pequeno Almoço</t>
  </si>
  <si>
    <t xml:space="preserve">Cinema </t>
  </si>
  <si>
    <t>Não sei</t>
  </si>
  <si>
    <t>Aniversário</t>
  </si>
  <si>
    <t>IUC</t>
  </si>
  <si>
    <t>café</t>
  </si>
  <si>
    <t>Comer fora (mar shopping)</t>
  </si>
  <si>
    <t>Erro no BI</t>
  </si>
  <si>
    <t>Natal</t>
  </si>
  <si>
    <t>Gás</t>
  </si>
  <si>
    <t>Inspecção</t>
  </si>
  <si>
    <t>Areia Gato</t>
  </si>
  <si>
    <t>sushi</t>
  </si>
  <si>
    <t>prendas</t>
  </si>
  <si>
    <t xml:space="preserve">Binance </t>
  </si>
  <si>
    <t>internet casa</t>
  </si>
  <si>
    <t>Manipulo (aliexpress)</t>
  </si>
  <si>
    <t>brinquedo Bali</t>
  </si>
  <si>
    <t>Alinhar luzes</t>
  </si>
  <si>
    <t xml:space="preserve">limpeza </t>
  </si>
  <si>
    <t>produto para polir</t>
  </si>
  <si>
    <t>Oculos de ver</t>
  </si>
  <si>
    <t xml:space="preserve">ANUAL </t>
  </si>
  <si>
    <t xml:space="preserve">Total </t>
  </si>
  <si>
    <t>% das despesas</t>
  </si>
  <si>
    <t>% do rendimento</t>
  </si>
  <si>
    <t>SUPER-MERCADO</t>
  </si>
  <si>
    <t>EDUCAÇÃO</t>
  </si>
  <si>
    <t xml:space="preserve">TOTAL DESPESAS </t>
  </si>
  <si>
    <t>JANEIRO (1)</t>
  </si>
  <si>
    <t>LEGENDAS</t>
  </si>
  <si>
    <t>BILLS</t>
  </si>
  <si>
    <t>SAÙDE</t>
  </si>
  <si>
    <t xml:space="preserve">HOME FORNITURE </t>
  </si>
  <si>
    <t>TELEMÓVEL</t>
  </si>
  <si>
    <t xml:space="preserve">CARRO </t>
  </si>
  <si>
    <t>ANIMAIS</t>
  </si>
  <si>
    <t>HIGIENE</t>
  </si>
  <si>
    <t>WORK</t>
  </si>
  <si>
    <t>Renda; Despesas de casa</t>
  </si>
  <si>
    <t>despesas de saude, dentista, etc</t>
  </si>
  <si>
    <t xml:space="preserve">toalha zara home </t>
  </si>
  <si>
    <t>tarifário</t>
  </si>
  <si>
    <t xml:space="preserve">Cafes </t>
  </si>
  <si>
    <t>calzedonia</t>
  </si>
  <si>
    <t>Curso avançado (inicial) - começar a pagar 250 por mês em Abril</t>
  </si>
  <si>
    <t>prenda catarina joia</t>
  </si>
  <si>
    <t>HOME FURNITURE</t>
  </si>
  <si>
    <t>Tudo o que seja para decoração de casa, ou furniture</t>
  </si>
  <si>
    <t>IKEA lençois e capa edredão</t>
  </si>
  <si>
    <t>escova dd dentes bali</t>
  </si>
  <si>
    <t>Cafes</t>
  </si>
  <si>
    <t>casaco oysho</t>
  </si>
  <si>
    <t>prenda carlos</t>
  </si>
  <si>
    <t>TELEMOVEL</t>
  </si>
  <si>
    <t>tarifários ou compra de alguma coisa para o telemovel</t>
  </si>
  <si>
    <t>pasta de dentes bali</t>
  </si>
  <si>
    <t>Indiano</t>
  </si>
  <si>
    <t>Fazer leite vegetal</t>
  </si>
  <si>
    <t xml:space="preserve">pvs </t>
  </si>
  <si>
    <t>CARRO \ TRANSPORTES</t>
  </si>
  <si>
    <t>despesas com o carro, arranjos, ou transportes publicos</t>
  </si>
  <si>
    <t>Mae (para casaco)</t>
  </si>
  <si>
    <t>starbucks</t>
  </si>
  <si>
    <t>produtos de higiene ou limpeza de casa</t>
  </si>
  <si>
    <t>TABACO, cafés (fora de casa), bares, cervejas (fora de casa), RESTAURANTES</t>
  </si>
  <si>
    <t>Coisas fisicas que são para mim e não são essenciais; roupa</t>
  </si>
  <si>
    <t>Cursos ou livros</t>
  </si>
  <si>
    <t>Coisas extras que não entram nestas categorias, prendas, etc</t>
  </si>
  <si>
    <t>despesas que gasto com o trading</t>
  </si>
  <si>
    <t>DOAR</t>
  </si>
  <si>
    <t>FEVEREIRO (2)</t>
  </si>
  <si>
    <t>dentista</t>
  </si>
  <si>
    <t xml:space="preserve">Puxador da pressiana do quarto </t>
  </si>
  <si>
    <t xml:space="preserve">tarifário </t>
  </si>
  <si>
    <t>Sushi João</t>
  </si>
  <si>
    <t xml:space="preserve">Tecidos </t>
  </si>
  <si>
    <t xml:space="preserve">livro joe dispenza </t>
  </si>
  <si>
    <t>Manutenção de conta (?)</t>
  </si>
  <si>
    <t>Despesas (água / tv e net)</t>
  </si>
  <si>
    <t xml:space="preserve">Adaptador iPad cabo para fones </t>
  </si>
  <si>
    <t xml:space="preserve">Brinquedo Bali </t>
  </si>
  <si>
    <t xml:space="preserve">Fecho para calças </t>
  </si>
  <si>
    <t xml:space="preserve">audio livro joe dispenza </t>
  </si>
  <si>
    <t>Despesas (Luz)</t>
  </si>
  <si>
    <t>Vestido Oysho</t>
  </si>
  <si>
    <t>PORTO - jantar</t>
  </si>
  <si>
    <t>PORTO</t>
  </si>
  <si>
    <t>PORTO - metro</t>
  </si>
  <si>
    <t>SAFE CGD</t>
  </si>
  <si>
    <t>PORTO - Ìmans</t>
  </si>
  <si>
    <t>CGD Mês passado</t>
  </si>
  <si>
    <t>Tenho de dar 100 ao Carlos da trip ao Porto</t>
  </si>
  <si>
    <t>Este mês</t>
  </si>
  <si>
    <t>raspadinha avião</t>
  </si>
  <si>
    <t>MARÇO (3)</t>
  </si>
  <si>
    <t>Remédio pulgas Bali</t>
  </si>
  <si>
    <t>Comer mc joão (+ vinho em casa)</t>
  </si>
  <si>
    <t xml:space="preserve">Mochila </t>
  </si>
  <si>
    <t>carlos (viagem ao Porto do mês passado)</t>
  </si>
  <si>
    <t>Despesas (água, luz) (de Janeiro)</t>
  </si>
  <si>
    <t xml:space="preserve">Gasolina </t>
  </si>
  <si>
    <t>Shampoo</t>
  </si>
  <si>
    <t xml:space="preserve">Almoço em familia na caravana na praia dos Tomates </t>
  </si>
  <si>
    <t xml:space="preserve">Bpantene </t>
  </si>
  <si>
    <t>Pai (para o curso) - usei para despesas do mês</t>
  </si>
  <si>
    <t>Despasas (gás)</t>
  </si>
  <si>
    <t>Snack Bali</t>
  </si>
  <si>
    <t xml:space="preserve">Sair, cervejas, etc </t>
  </si>
  <si>
    <t xml:space="preserve">brinquedo Bianca </t>
  </si>
  <si>
    <t>Venda dos sofás</t>
  </si>
  <si>
    <t>Despesas (água, luz) (de Fevereiro)</t>
  </si>
  <si>
    <t>Tarde casa do Alex</t>
  </si>
  <si>
    <t>Almoço de curso a Òbidos</t>
  </si>
  <si>
    <t>Despesas (TV / NET)</t>
  </si>
  <si>
    <t>Tapas Joao</t>
  </si>
  <si>
    <t>Gasoleo</t>
  </si>
  <si>
    <t>Despesa (luz Março)</t>
  </si>
  <si>
    <t>Papillon</t>
  </si>
  <si>
    <t xml:space="preserve">Cafés </t>
  </si>
  <si>
    <t>Café com Miguel</t>
  </si>
  <si>
    <t xml:space="preserve">Portagens </t>
  </si>
  <si>
    <t>Cama</t>
  </si>
  <si>
    <t>manutençao conta</t>
  </si>
  <si>
    <t xml:space="preserve">Caução casa Kilmacthomas </t>
  </si>
  <si>
    <t xml:space="preserve">Bilhete de ida Irlanda </t>
  </si>
  <si>
    <t>monitor custou 300 euros (menos 70 euros que vendemos a tv de casa = 230) a dividir pelos 2 = 115 cada um</t>
  </si>
  <si>
    <t>Monitor</t>
  </si>
  <si>
    <t>Alojamento até Bilbau</t>
  </si>
  <si>
    <t>ABRIL (4)</t>
  </si>
  <si>
    <t>CARRO \ TRANSPORTE</t>
  </si>
  <si>
    <t>Despesas de casa (água Março)</t>
  </si>
  <si>
    <t>Medidores</t>
  </si>
  <si>
    <t>Biscoitos Bali</t>
  </si>
  <si>
    <t xml:space="preserve">Tapas João </t>
  </si>
  <si>
    <t>Vestido</t>
  </si>
  <si>
    <t>Curso (+200 do meu pai) = dei 250</t>
  </si>
  <si>
    <t>Mamão aniversário Pai</t>
  </si>
  <si>
    <t>Comida Gato</t>
  </si>
  <si>
    <t>manutenção de conta</t>
  </si>
  <si>
    <t xml:space="preserve">Tirei das poupanças </t>
  </si>
  <si>
    <t>Bravetto Bali</t>
  </si>
  <si>
    <t>HBO</t>
  </si>
  <si>
    <t xml:space="preserve">Banho Bali </t>
  </si>
  <si>
    <t>Copos pombo</t>
  </si>
  <si>
    <t xml:space="preserve">Vet Bali - vacinas e passaporte </t>
  </si>
  <si>
    <t>Cinema com o Leo \ Almoço</t>
  </si>
  <si>
    <t xml:space="preserve">Almoço nas tostas com o joão </t>
  </si>
  <si>
    <t xml:space="preserve">Mandei ao Carlos para a viagem </t>
  </si>
  <si>
    <t>Pai (1500 de ajuda para irlanda 500 x 3)</t>
  </si>
  <si>
    <t xml:space="preserve">Catita </t>
  </si>
  <si>
    <t xml:space="preserve">Seguro </t>
  </si>
  <si>
    <t xml:space="preserve">Tirei para a viagem até Irlanda </t>
  </si>
  <si>
    <t xml:space="preserve">Piquenique </t>
  </si>
  <si>
    <t>Paguei o curso</t>
  </si>
  <si>
    <t xml:space="preserve">Casa João jantar </t>
  </si>
  <si>
    <t>MAIO (5)</t>
  </si>
  <si>
    <t>RECEBIMENTOS</t>
  </si>
  <si>
    <t>TRANSPORTES</t>
  </si>
  <si>
    <t>data</t>
  </si>
  <si>
    <t>25\4</t>
  </si>
  <si>
    <t xml:space="preserve">Renda casa </t>
  </si>
  <si>
    <t>Coisas de casa</t>
  </si>
  <si>
    <t xml:space="preserve">Cork com o Rafa e Tomás </t>
  </si>
  <si>
    <t xml:space="preserve">Bali rain jacket </t>
  </si>
  <si>
    <t>calças primark</t>
  </si>
  <si>
    <t>PV's</t>
  </si>
  <si>
    <t>REVOLUT</t>
  </si>
  <si>
    <t>27\4</t>
  </si>
  <si>
    <t>Electricidade</t>
  </si>
  <si>
    <t>luzes casa</t>
  </si>
  <si>
    <t>cartão pass</t>
  </si>
  <si>
    <t>Meias</t>
  </si>
  <si>
    <t>livro</t>
  </si>
  <si>
    <t>cartão carlos</t>
  </si>
  <si>
    <t xml:space="preserve">Water filter </t>
  </si>
  <si>
    <t>Waterford para Kilmac</t>
  </si>
  <si>
    <t>cuecas</t>
  </si>
  <si>
    <t>O cisne negro</t>
  </si>
  <si>
    <t>Dinheiro que tirei da CGD</t>
  </si>
  <si>
    <t>lavanda oleo</t>
  </si>
  <si>
    <t xml:space="preserve">Creme para cara </t>
  </si>
  <si>
    <t>secretária</t>
  </si>
  <si>
    <t>Sandes subway</t>
  </si>
  <si>
    <t>casaco + livro (segunda mão)</t>
  </si>
  <si>
    <t xml:space="preserve">burro para a roupa </t>
  </si>
  <si>
    <t>cafés</t>
  </si>
  <si>
    <t>Botas Doc Martins</t>
  </si>
  <si>
    <t>Venda tele</t>
  </si>
  <si>
    <t xml:space="preserve">Cervejas </t>
  </si>
  <si>
    <t>Não deu para enviar o dinheiro do curso</t>
  </si>
  <si>
    <t>Compra Iphone 11 (na cex)</t>
  </si>
  <si>
    <t>Precisei de usar o dinheiro</t>
  </si>
  <si>
    <t>subway</t>
  </si>
  <si>
    <t>Bi de Abril</t>
  </si>
  <si>
    <t xml:space="preserve">Vou tirar 5 dias de férias, fazer 2 feriados e fazer 2 dias de férias da Inês. Tenho de receber o subsidios de fdérias e de natal </t>
  </si>
  <si>
    <t>Ordenado:</t>
  </si>
  <si>
    <t xml:space="preserve">Ordenado normal </t>
  </si>
  <si>
    <t>Base</t>
  </si>
  <si>
    <t>Alimentação</t>
  </si>
  <si>
    <t>65,65 o normal, mas vou tirar 5 dias de férias</t>
  </si>
  <si>
    <t>Km</t>
  </si>
  <si>
    <t xml:space="preserve">130 o normla, mas vou tirar 5 dias de ferias </t>
  </si>
  <si>
    <t>Dias extra:</t>
  </si>
  <si>
    <t xml:space="preserve">Férias </t>
  </si>
  <si>
    <t xml:space="preserve">23,04 cada dia </t>
  </si>
  <si>
    <t xml:space="preserve">Feriados </t>
  </si>
  <si>
    <t xml:space="preserve">19,56 cada dia </t>
  </si>
  <si>
    <t xml:space="preserve">Subsidios: </t>
  </si>
  <si>
    <t>30 por mês</t>
  </si>
  <si>
    <t xml:space="preserve">Natal </t>
  </si>
  <si>
    <t xml:space="preserve">Quanto recebi </t>
  </si>
  <si>
    <t>JUNHO (6)</t>
  </si>
  <si>
    <t>25\5</t>
  </si>
  <si>
    <t>Dungarvan - Kilmacthomas</t>
  </si>
  <si>
    <t>biscoitos</t>
  </si>
  <si>
    <t xml:space="preserve">tabaco </t>
  </si>
  <si>
    <t>primark</t>
  </si>
  <si>
    <t>Livro do João tordo</t>
  </si>
  <si>
    <t>Bike de Kilmacthomas a Dungarvan (29\05)</t>
  </si>
  <si>
    <t>Tragins View</t>
  </si>
  <si>
    <t xml:space="preserve">Tirei da CGD para uso mensal </t>
  </si>
  <si>
    <t>beer</t>
  </si>
  <si>
    <t xml:space="preserve">Compras roupa </t>
  </si>
  <si>
    <t>Pai (curso)</t>
  </si>
  <si>
    <t>lixo</t>
  </si>
  <si>
    <t>pizzas casa catarina</t>
  </si>
  <si>
    <t>acerto de contas com o Carlos (dinheiro que lhe devia)</t>
  </si>
  <si>
    <t xml:space="preserve">estendal </t>
  </si>
  <si>
    <t>Anel segunda mão</t>
  </si>
  <si>
    <t xml:space="preserve">Fita cola </t>
  </si>
  <si>
    <t>verniz</t>
  </si>
  <si>
    <t>compras shein</t>
  </si>
  <si>
    <t>não estou a pagar o curso (porque não está a dar para fazer a transferência</t>
  </si>
  <si>
    <t>Bilhetes férias algarve</t>
  </si>
  <si>
    <t>Mafalda (Brida)</t>
  </si>
  <si>
    <t>curso</t>
  </si>
  <si>
    <t>JULHO (7)</t>
  </si>
  <si>
    <t>26\6</t>
  </si>
  <si>
    <t>Leap Card</t>
  </si>
  <si>
    <t xml:space="preserve">cookies </t>
  </si>
  <si>
    <t>jantar casa friends</t>
  </si>
  <si>
    <t>meditações Teal Swan</t>
  </si>
  <si>
    <t>Lavandaria</t>
  </si>
  <si>
    <t>18\7</t>
  </si>
  <si>
    <t xml:space="preserve">Electricidade </t>
  </si>
  <si>
    <t>plantas para quintal</t>
  </si>
  <si>
    <t>Vipe</t>
  </si>
  <si>
    <t>Croks</t>
  </si>
  <si>
    <t>Carta (an post)</t>
  </si>
  <si>
    <t>Trading View</t>
  </si>
  <si>
    <t>casquinha jardim + grades jardim</t>
  </si>
  <si>
    <t>Shein</t>
  </si>
  <si>
    <t>roupa de cama para guest room</t>
  </si>
  <si>
    <t>copos para plantar</t>
  </si>
  <si>
    <t>tapas \ vinho no zanzibar</t>
  </si>
  <si>
    <t>Boots (maquilhagem)</t>
  </si>
  <si>
    <t>4Bidden (tipo netflix)</t>
  </si>
  <si>
    <t xml:space="preserve">parafusos para horta + terra </t>
  </si>
  <si>
    <t>Jantar casa Davi</t>
  </si>
  <si>
    <t>Psy test</t>
  </si>
  <si>
    <t>canetas</t>
  </si>
  <si>
    <t xml:space="preserve">parafusos e coisas para horta </t>
  </si>
  <si>
    <t xml:space="preserve">Springrols </t>
  </si>
  <si>
    <t xml:space="preserve">Roupa shein </t>
  </si>
  <si>
    <t>Isqueiro</t>
  </si>
  <si>
    <t>Costa Coffee</t>
  </si>
  <si>
    <t xml:space="preserve">cristais </t>
  </si>
  <si>
    <t>não estou a pagar o curso (porque não está a dar para fazer a transferência)</t>
  </si>
  <si>
    <t>sushi casa friends</t>
  </si>
  <si>
    <t>Hoodie</t>
  </si>
  <si>
    <t>AGOSTO (8)</t>
  </si>
  <si>
    <t>27\7</t>
  </si>
  <si>
    <t>conbustível a dividir com o carlos (para ir buscar os meus pais)</t>
  </si>
  <si>
    <t>comida bali</t>
  </si>
  <si>
    <t xml:space="preserve">pintura cabelo </t>
  </si>
  <si>
    <t>Curso Macroeconomic</t>
  </si>
  <si>
    <t>App Gaia</t>
  </si>
  <si>
    <t>MFF</t>
  </si>
  <si>
    <t>Meu pai deu-me porque o cartão bloqueou - ficou assim pelo restante valor do curso que faltava pagar (era 1000euros)</t>
  </si>
  <si>
    <t>hospital \ veterinário gato - foi 445 (dividi com o meu pai, depois dividi com o Carlos)</t>
  </si>
  <si>
    <t>gelados</t>
  </si>
  <si>
    <t>coisas para o cabelo</t>
  </si>
  <si>
    <t>oferta para meus sogros</t>
  </si>
  <si>
    <t>Combustivel carro de aluger PT</t>
  </si>
  <si>
    <t>donuts</t>
  </si>
  <si>
    <t>oferta para os meus pais</t>
  </si>
  <si>
    <t>Bloomberg</t>
  </si>
  <si>
    <t>Tirei da CGD para veterinário do gato</t>
  </si>
  <si>
    <t>Barco fusa</t>
  </si>
  <si>
    <t>Roupa Mountain Warehouse</t>
  </si>
  <si>
    <t>Uber</t>
  </si>
  <si>
    <t>Cafés coffee costa</t>
  </si>
  <si>
    <t>Manutenção conta</t>
  </si>
  <si>
    <t>cork - waterford</t>
  </si>
  <si>
    <t xml:space="preserve">Manutenção conta </t>
  </si>
  <si>
    <t>Cervejas PT</t>
  </si>
  <si>
    <t>Vipes para levar para Pt</t>
  </si>
  <si>
    <t>Cartão MEO</t>
  </si>
  <si>
    <t>Paguei o curso do Fred (de Abril até Setembro)</t>
  </si>
  <si>
    <t>pequeno almoço PT</t>
  </si>
  <si>
    <t>Carregamento MEO para 5 meses</t>
  </si>
  <si>
    <t>Challet</t>
  </si>
  <si>
    <t>vipe para a minha irmâ</t>
  </si>
  <si>
    <t>Aluguer do Carro PT</t>
  </si>
  <si>
    <t>Ilha do Farol</t>
  </si>
  <si>
    <t>Carregamento NOS (1.50 por mês)</t>
  </si>
  <si>
    <t>WokFaro (sushi)</t>
  </si>
  <si>
    <t>Fotocópias da radiestesia</t>
  </si>
  <si>
    <t>comida na casa dos pais do Carlos (peixe assado)</t>
  </si>
  <si>
    <t>Almoço peixe assado</t>
  </si>
  <si>
    <t xml:space="preserve">Vipes </t>
  </si>
  <si>
    <t>Gelados</t>
  </si>
  <si>
    <t xml:space="preserve">dinheiro que me falta pagar do curso - quero pagar até ao final do mês de Agosto - dinheiro com alguma urgência </t>
  </si>
  <si>
    <t>SETEMBRO (9)</t>
  </si>
  <si>
    <t>25\8</t>
  </si>
  <si>
    <t>bus aerorpoto para cork</t>
  </si>
  <si>
    <t>Smothie</t>
  </si>
  <si>
    <t>Livro kindle</t>
  </si>
  <si>
    <t>Fotocópias</t>
  </si>
  <si>
    <t>19\9</t>
  </si>
  <si>
    <t>Cartão TFI</t>
  </si>
  <si>
    <t xml:space="preserve">Erva </t>
  </si>
  <si>
    <t xml:space="preserve">Roupa </t>
  </si>
  <si>
    <t xml:space="preserve">Manutenção de conta </t>
  </si>
  <si>
    <t>lixo (pack de 4)</t>
  </si>
  <si>
    <t>Almoço Casa Davi</t>
  </si>
  <si>
    <t xml:space="preserve">Lingerie </t>
  </si>
  <si>
    <t>Calendário aliexpress</t>
  </si>
  <si>
    <t>Tabaco (para a erva)</t>
  </si>
  <si>
    <t>"Remédio" para stress (gotas debaixo da lingua)</t>
  </si>
  <si>
    <t>Papel para a erva</t>
  </si>
  <si>
    <t>Tirei da CGD para uso mensal</t>
  </si>
  <si>
    <t>OUTUBRO (10)</t>
  </si>
  <si>
    <t xml:space="preserve">Diesel </t>
  </si>
  <si>
    <t>comida Bali</t>
  </si>
  <si>
    <t>Rolls for jounaling</t>
  </si>
  <si>
    <t xml:space="preserve">Canetas </t>
  </si>
  <si>
    <t>28\9</t>
  </si>
  <si>
    <t>Tirei do cartão CGD</t>
  </si>
  <si>
    <t>uber</t>
  </si>
  <si>
    <t>Amigos at home</t>
  </si>
  <si>
    <t>Coisas para planear no aliexpress</t>
  </si>
  <si>
    <t>Arranjo carro</t>
  </si>
  <si>
    <t>cabo apple hdmi</t>
  </si>
  <si>
    <t>6\10</t>
  </si>
  <si>
    <t>Week 1 (tesco)</t>
  </si>
  <si>
    <t>lixo (pack de 3)</t>
  </si>
  <si>
    <t xml:space="preserve">uber </t>
  </si>
  <si>
    <t xml:space="preserve">Pizza just eat </t>
  </si>
  <si>
    <t>Bateria carro</t>
  </si>
  <si>
    <t xml:space="preserve">curso </t>
  </si>
  <si>
    <t>12\10</t>
  </si>
  <si>
    <t>Week 2 (tesco)</t>
  </si>
  <si>
    <t xml:space="preserve">Snack </t>
  </si>
  <si>
    <t>pvs</t>
  </si>
  <si>
    <t>19\10</t>
  </si>
  <si>
    <t>Week 3 (tesco)</t>
  </si>
  <si>
    <t>car park</t>
  </si>
  <si>
    <t>26\10</t>
  </si>
  <si>
    <t>Week 4 (tesco)</t>
  </si>
  <si>
    <t>NOVEMBRO (11)</t>
  </si>
  <si>
    <t>2\11</t>
  </si>
  <si>
    <t xml:space="preserve">lençoes cama </t>
  </si>
  <si>
    <t xml:space="preserve">Canetas, corrector </t>
  </si>
  <si>
    <t>Carregar cartão MEO</t>
  </si>
  <si>
    <t>Trading view</t>
  </si>
  <si>
    <t>13\11</t>
  </si>
  <si>
    <t xml:space="preserve">estrela de natal </t>
  </si>
  <si>
    <t>Chocolate no trabalho</t>
  </si>
  <si>
    <t xml:space="preserve">pedra turtulina preta </t>
  </si>
  <si>
    <t xml:space="preserve">Trading view premium black Friday 13 meses </t>
  </si>
  <si>
    <t>9\11</t>
  </si>
  <si>
    <t>Trolei WC</t>
  </si>
  <si>
    <t xml:space="preserve">lápis </t>
  </si>
  <si>
    <t xml:space="preserve">papel para fumar </t>
  </si>
  <si>
    <t>Curso</t>
  </si>
  <si>
    <t>16\11</t>
  </si>
  <si>
    <t xml:space="preserve">Capa edrarão </t>
  </si>
  <si>
    <t>Batatas no trabalho</t>
  </si>
  <si>
    <t>gorro</t>
  </si>
  <si>
    <t>23\11</t>
  </si>
  <si>
    <t>21\11</t>
  </si>
  <si>
    <t>Lixos (pack de 3)</t>
  </si>
  <si>
    <t>Car park</t>
  </si>
  <si>
    <t>Comer italiano c\ Carlos</t>
  </si>
  <si>
    <t>Canetas, corrector e lápis</t>
  </si>
  <si>
    <t>30\11</t>
  </si>
  <si>
    <t>Week 5 (tesco)</t>
  </si>
  <si>
    <t xml:space="preserve">Máquina secar roupa </t>
  </si>
  <si>
    <t xml:space="preserve">pijamas para mim e carlos na primark </t>
  </si>
  <si>
    <t>27\11</t>
  </si>
  <si>
    <t xml:space="preserve">caneta </t>
  </si>
  <si>
    <t>Chinês no trabalho</t>
  </si>
  <si>
    <t xml:space="preserve">Notebook A6 </t>
  </si>
  <si>
    <t xml:space="preserve">Espelho para fazer o buço e sobrancelhas </t>
  </si>
  <si>
    <t xml:space="preserve">dinheiro que me falta pagar do curso </t>
  </si>
  <si>
    <t>28\10</t>
  </si>
  <si>
    <t>carreguei numero TP NOS com 10 euros, fiquei com 13 euros no cartão</t>
  </si>
  <si>
    <t>carreguei numero PT MEO com 10 euros, fiquei com 12,93</t>
  </si>
  <si>
    <t>DEZEMBRO (12)</t>
  </si>
  <si>
    <t>Espelho do quarto, cruzetas guarda roupa</t>
  </si>
  <si>
    <t xml:space="preserve">Biscoitos </t>
  </si>
  <si>
    <t>Comer fora</t>
  </si>
  <si>
    <t xml:space="preserve">Prenda de Natal Carlos </t>
  </si>
  <si>
    <t xml:space="preserve">Curso completo trading </t>
  </si>
  <si>
    <t>7\12</t>
  </si>
  <si>
    <t>Bus para Cork</t>
  </si>
  <si>
    <t>Erva</t>
  </si>
  <si>
    <t>Shein, roupa, roupa bali, coisas para plannear</t>
  </si>
  <si>
    <t>Shein, prendas natal</t>
  </si>
  <si>
    <t>14\12</t>
  </si>
  <si>
    <t>Meu aniversário (almoçar fora)</t>
  </si>
  <si>
    <t xml:space="preserve">Luvas primark e blusa </t>
  </si>
  <si>
    <t>21\12</t>
  </si>
  <si>
    <t>19\12</t>
  </si>
  <si>
    <t>Secar roupa</t>
  </si>
  <si>
    <t>28\12</t>
  </si>
  <si>
    <t>23\12</t>
  </si>
  <si>
    <t xml:space="preserve">Internet </t>
  </si>
  <si>
    <t>Canetas</t>
  </si>
  <si>
    <t>Prenda Natal dos meus pais (50 euros cada um)</t>
  </si>
  <si>
    <t>26\12</t>
  </si>
  <si>
    <t xml:space="preserve">secar roupa </t>
  </si>
  <si>
    <t xml:space="preserve">Mr. Price - cadernos </t>
  </si>
  <si>
    <t>5\12</t>
  </si>
  <si>
    <t>Prenda de Anos meus pais</t>
  </si>
  <si>
    <t xml:space="preserve">Meus planos finançeiros </t>
  </si>
  <si>
    <t xml:space="preserve">1.000 </t>
  </si>
  <si>
    <t xml:space="preserve">sempre disponivel no revolut </t>
  </si>
  <si>
    <t>5.000</t>
  </si>
  <si>
    <t>fundo de emergência (vai crescendo em percentagem, mas no inicio é isso)</t>
  </si>
  <si>
    <t>30.000</t>
  </si>
  <si>
    <t>dinheiro que vou pondo num pote com o carlos - em 5 anos temos o objetivo de 30.000 euros (250 por mês)</t>
  </si>
  <si>
    <t>2.000</t>
  </si>
  <si>
    <t>dinheiro que vou pondo num pote com o carlos - 20 euros por semana durante 1 ano (para umas férias ou algo que queiramos fazer)</t>
  </si>
  <si>
    <t xml:space="preserve">FTMO - quero tentar entrar numa conta de 100.000 euros - o dinheiro que vou fazendo vai para a minha conta do fusion </t>
  </si>
  <si>
    <t>FUSION - uma conta minha que coloco todos os meses mais ou menos 500 euros + o valor que fizer no FTMO (objetivo chegar a uma conta com 100.000 euros)</t>
  </si>
  <si>
    <t>JANEIRO</t>
  </si>
  <si>
    <t>FEVEREIRO</t>
  </si>
  <si>
    <t>MARÇO</t>
  </si>
  <si>
    <t>ABRIL</t>
  </si>
  <si>
    <t>Média total</t>
  </si>
  <si>
    <t>Média PT</t>
  </si>
  <si>
    <t>Média IE</t>
  </si>
  <si>
    <t>SAÚDE</t>
  </si>
  <si>
    <t xml:space="preserve">CARRO \ TRANSPORTE </t>
  </si>
  <si>
    <t xml:space="preserve">161,71 euros, tirei da CGD conta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</si>
</sst>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_ * #,##0.00_)\ &quot;€&quot;_ ;_ * \(#,##0.00\)\ &quot;€&quot;_ ;_ * &quot;-&quot;??_)\ &quot;€&quot;_ ;_ @_ "/>
    <numFmt numFmtId="165" formatCode="#,##0.00\ &quot;€&quot;"/>
  </numFmts>
  <fonts count="1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2DEC7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8FC04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8FC04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6F6C15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8E2F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8E2F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2DEC7"/>
        <bgColor rgb="FF000000"/>
      </patternFill>
    </fill>
  </fills>
  <borders count="1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ck">
        <color indexed="64"/>
      </right>
      <top style="medium">
        <color indexed="64"/>
      </top>
      <bottom style="thin">
        <color auto="1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ck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/>
      <top style="thin">
        <color rgb="FF50505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</cellStyleXfs>
  <cellXfs count="787">
    <xf numFmtId="0" fontId="0" fillId="0" borderId="0" xfId="0"/>
    <xf numFmtId="0" fontId="0" fillId="3" borderId="0" xfId="0" applyFill="1"/>
    <xf numFmtId="165" fontId="0" fillId="3" borderId="1" xfId="0" applyNumberFormat="1" applyFill="1" applyBorder="1"/>
    <xf numFmtId="164" fontId="0" fillId="3" borderId="1" xfId="0" applyNumberFormat="1" applyFill="1" applyBorder="1"/>
    <xf numFmtId="0" fontId="0" fillId="3" borderId="7" xfId="0" applyFill="1" applyBorder="1"/>
    <xf numFmtId="0" fontId="5" fillId="0" borderId="0" xfId="0" applyFont="1" applyAlignment="1">
      <alignment horizontal="center"/>
    </xf>
    <xf numFmtId="165" fontId="0" fillId="0" borderId="0" xfId="0" applyNumberFormat="1"/>
    <xf numFmtId="164" fontId="0" fillId="0" borderId="0" xfId="1" applyFont="1" applyFill="1" applyBorder="1"/>
    <xf numFmtId="164" fontId="0" fillId="0" borderId="0" xfId="0" applyNumberFormat="1"/>
    <xf numFmtId="0" fontId="0" fillId="3" borderId="1" xfId="0" applyFill="1" applyBorder="1"/>
    <xf numFmtId="165" fontId="2" fillId="4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165" fontId="2" fillId="0" borderId="11" xfId="0" applyNumberFormat="1" applyFont="1" applyBorder="1" applyAlignment="1">
      <alignment horizontal="center" vertical="center"/>
    </xf>
    <xf numFmtId="165" fontId="0" fillId="0" borderId="11" xfId="0" applyNumberFormat="1" applyBorder="1"/>
    <xf numFmtId="165" fontId="2" fillId="4" borderId="12" xfId="0" applyNumberFormat="1" applyFont="1" applyFill="1" applyBorder="1" applyAlignment="1">
      <alignment horizontal="center"/>
    </xf>
    <xf numFmtId="165" fontId="0" fillId="0" borderId="12" xfId="0" applyNumberFormat="1" applyBorder="1"/>
    <xf numFmtId="0" fontId="2" fillId="0" borderId="11" xfId="0" applyFont="1" applyBorder="1" applyAlignment="1">
      <alignment horizontal="center"/>
    </xf>
    <xf numFmtId="164" fontId="0" fillId="0" borderId="11" xfId="1" applyFont="1" applyFill="1" applyBorder="1"/>
    <xf numFmtId="164" fontId="0" fillId="0" borderId="11" xfId="0" applyNumberFormat="1" applyBorder="1"/>
    <xf numFmtId="0" fontId="0" fillId="0" borderId="11" xfId="0" applyBorder="1"/>
    <xf numFmtId="165" fontId="2" fillId="4" borderId="18" xfId="0" applyNumberFormat="1" applyFont="1" applyFill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0" fillId="0" borderId="17" xfId="0" applyBorder="1"/>
    <xf numFmtId="165" fontId="0" fillId="0" borderId="18" xfId="0" applyNumberFormat="1" applyBorder="1"/>
    <xf numFmtId="165" fontId="7" fillId="0" borderId="0" xfId="0" applyNumberFormat="1" applyFont="1" applyAlignment="1">
      <alignment horizontal="center"/>
    </xf>
    <xf numFmtId="165" fontId="0" fillId="3" borderId="13" xfId="0" applyNumberFormat="1" applyFill="1" applyBorder="1"/>
    <xf numFmtId="0" fontId="2" fillId="0" borderId="11" xfId="0" applyFont="1" applyBorder="1" applyAlignment="1">
      <alignment horizontal="center" vertical="center"/>
    </xf>
    <xf numFmtId="0" fontId="0" fillId="0" borderId="12" xfId="0" applyBorder="1"/>
    <xf numFmtId="165" fontId="0" fillId="0" borderId="17" xfId="0" applyNumberFormat="1" applyBorder="1"/>
    <xf numFmtId="165" fontId="2" fillId="0" borderId="17" xfId="0" applyNumberFormat="1" applyFont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5" fillId="0" borderId="0" xfId="0" applyFon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165" fontId="0" fillId="2" borderId="14" xfId="0" applyNumberFormat="1" applyFill="1" applyBorder="1" applyAlignment="1">
      <alignment horizontal="right"/>
    </xf>
    <xf numFmtId="165" fontId="2" fillId="4" borderId="0" xfId="0" applyNumberFormat="1" applyFont="1" applyFill="1" applyAlignment="1">
      <alignment horizontal="center" vertical="center"/>
    </xf>
    <xf numFmtId="164" fontId="0" fillId="0" borderId="12" xfId="1" applyFont="1" applyFill="1" applyBorder="1" applyAlignment="1">
      <alignment horizontal="right"/>
    </xf>
    <xf numFmtId="0" fontId="6" fillId="0" borderId="7" xfId="0" applyFont="1" applyBorder="1" applyAlignment="1">
      <alignment vertical="center" textRotation="90"/>
    </xf>
    <xf numFmtId="0" fontId="6" fillId="0" borderId="0" xfId="0" applyFont="1" applyAlignment="1">
      <alignment vertical="center" textRotation="90"/>
    </xf>
    <xf numFmtId="0" fontId="5" fillId="0" borderId="0" xfId="0" applyFont="1"/>
    <xf numFmtId="0" fontId="6" fillId="0" borderId="17" xfId="0" applyFont="1" applyBorder="1" applyAlignment="1">
      <alignment vertical="center" textRotation="90"/>
    </xf>
    <xf numFmtId="0" fontId="0" fillId="0" borderId="19" xfId="0" applyBorder="1"/>
    <xf numFmtId="0" fontId="0" fillId="8" borderId="3" xfId="0" applyFill="1" applyBorder="1"/>
    <xf numFmtId="165" fontId="0" fillId="8" borderId="1" xfId="0" applyNumberFormat="1" applyFill="1" applyBorder="1"/>
    <xf numFmtId="165" fontId="0" fillId="8" borderId="1" xfId="1" applyNumberFormat="1" applyFont="1" applyFill="1" applyBorder="1"/>
    <xf numFmtId="0" fontId="0" fillId="8" borderId="1" xfId="0" applyFill="1" applyBorder="1"/>
    <xf numFmtId="0" fontId="0" fillId="0" borderId="27" xfId="0" applyBorder="1" applyAlignment="1">
      <alignment horizontal="center" vertical="center"/>
    </xf>
    <xf numFmtId="165" fontId="0" fillId="0" borderId="26" xfId="0" applyNumberFormat="1" applyBorder="1"/>
    <xf numFmtId="165" fontId="0" fillId="0" borderId="27" xfId="0" applyNumberFormat="1" applyBorder="1"/>
    <xf numFmtId="0" fontId="4" fillId="0" borderId="0" xfId="0" applyFont="1"/>
    <xf numFmtId="0" fontId="4" fillId="10" borderId="6" xfId="0" applyFont="1" applyFill="1" applyBorder="1"/>
    <xf numFmtId="165" fontId="4" fillId="10" borderId="5" xfId="0" applyNumberFormat="1" applyFont="1" applyFill="1" applyBorder="1"/>
    <xf numFmtId="165" fontId="4" fillId="0" borderId="0" xfId="0" applyNumberFormat="1" applyFont="1"/>
    <xf numFmtId="165" fontId="3" fillId="0" borderId="11" xfId="0" applyNumberFormat="1" applyFont="1" applyBorder="1" applyAlignment="1">
      <alignment horizontal="center" vertical="center"/>
    </xf>
    <xf numFmtId="165" fontId="3" fillId="9" borderId="0" xfId="0" applyNumberFormat="1" applyFont="1" applyFill="1" applyAlignment="1">
      <alignment horizontal="center" vertical="center"/>
    </xf>
    <xf numFmtId="0" fontId="4" fillId="14" borderId="6" xfId="0" applyFont="1" applyFill="1" applyBorder="1"/>
    <xf numFmtId="165" fontId="4" fillId="14" borderId="5" xfId="0" applyNumberFormat="1" applyFont="1" applyFill="1" applyBorder="1"/>
    <xf numFmtId="165" fontId="4" fillId="0" borderId="11" xfId="0" applyNumberFormat="1" applyFont="1" applyBorder="1"/>
    <xf numFmtId="165" fontId="4" fillId="0" borderId="0" xfId="0" applyNumberFormat="1" applyFont="1" applyAlignment="1">
      <alignment horizontal="right"/>
    </xf>
    <xf numFmtId="0" fontId="3" fillId="0" borderId="11" xfId="0" applyFont="1" applyBorder="1" applyAlignment="1">
      <alignment horizontal="center" vertical="center"/>
    </xf>
    <xf numFmtId="165" fontId="3" fillId="9" borderId="0" xfId="0" applyNumberFormat="1" applyFont="1" applyFill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165" fontId="3" fillId="9" borderId="18" xfId="0" applyNumberFormat="1" applyFont="1" applyFill="1" applyBorder="1" applyAlignment="1">
      <alignment horizontal="center"/>
    </xf>
    <xf numFmtId="0" fontId="4" fillId="0" borderId="11" xfId="0" applyFont="1" applyBorder="1"/>
    <xf numFmtId="0" fontId="4" fillId="0" borderId="17" xfId="0" applyFont="1" applyBorder="1"/>
    <xf numFmtId="165" fontId="4" fillId="0" borderId="12" xfId="0" applyNumberFormat="1" applyFont="1" applyBorder="1"/>
    <xf numFmtId="165" fontId="4" fillId="0" borderId="18" xfId="0" applyNumberFormat="1" applyFont="1" applyBorder="1"/>
    <xf numFmtId="0" fontId="4" fillId="0" borderId="19" xfId="0" applyFont="1" applyBorder="1"/>
    <xf numFmtId="0" fontId="4" fillId="0" borderId="11" xfId="0" applyFont="1" applyBorder="1" applyAlignment="1">
      <alignment horizontal="left" vertical="center"/>
    </xf>
    <xf numFmtId="0" fontId="4" fillId="0" borderId="0" xfId="0" applyFont="1" applyAlignment="1">
      <alignment horizontal="right"/>
    </xf>
    <xf numFmtId="165" fontId="4" fillId="0" borderId="17" xfId="0" applyNumberFormat="1" applyFont="1" applyBorder="1"/>
    <xf numFmtId="164" fontId="4" fillId="0" borderId="0" xfId="0" applyNumberFormat="1" applyFont="1" applyAlignment="1">
      <alignment horizontal="right"/>
    </xf>
    <xf numFmtId="164" fontId="4" fillId="0" borderId="0" xfId="0" applyNumberFormat="1" applyFont="1"/>
    <xf numFmtId="164" fontId="4" fillId="0" borderId="11" xfId="0" applyNumberFormat="1" applyFont="1" applyBorder="1"/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right"/>
    </xf>
    <xf numFmtId="164" fontId="4" fillId="0" borderId="12" xfId="0" applyNumberFormat="1" applyFont="1" applyBorder="1" applyAlignment="1">
      <alignment horizontal="right"/>
    </xf>
    <xf numFmtId="165" fontId="4" fillId="14" borderId="13" xfId="0" applyNumberFormat="1" applyFont="1" applyFill="1" applyBorder="1"/>
    <xf numFmtId="165" fontId="4" fillId="12" borderId="14" xfId="0" applyNumberFormat="1" applyFont="1" applyFill="1" applyBorder="1" applyAlignment="1">
      <alignment horizontal="right"/>
    </xf>
    <xf numFmtId="0" fontId="4" fillId="0" borderId="27" xfId="0" applyFont="1" applyBorder="1" applyAlignment="1">
      <alignment horizontal="center" vertical="center"/>
    </xf>
    <xf numFmtId="165" fontId="4" fillId="0" borderId="27" xfId="0" applyNumberFormat="1" applyFont="1" applyBorder="1"/>
    <xf numFmtId="0" fontId="8" fillId="0" borderId="0" xfId="0" applyFont="1" applyAlignment="1">
      <alignment vertical="top" wrapText="1"/>
    </xf>
    <xf numFmtId="165" fontId="3" fillId="9" borderId="17" xfId="0" applyNumberFormat="1" applyFont="1" applyFill="1" applyBorder="1" applyAlignment="1">
      <alignment horizontal="center"/>
    </xf>
    <xf numFmtId="0" fontId="3" fillId="22" borderId="16" xfId="0" applyFont="1" applyFill="1" applyBorder="1"/>
    <xf numFmtId="0" fontId="0" fillId="22" borderId="19" xfId="0" applyFill="1" applyBorder="1"/>
    <xf numFmtId="0" fontId="0" fillId="22" borderId="4" xfId="0" applyFill="1" applyBorder="1"/>
    <xf numFmtId="0" fontId="4" fillId="22" borderId="17" xfId="0" applyFont="1" applyFill="1" applyBorder="1"/>
    <xf numFmtId="0" fontId="4" fillId="22" borderId="0" xfId="0" applyFont="1" applyFill="1"/>
    <xf numFmtId="0" fontId="0" fillId="22" borderId="18" xfId="0" applyFill="1" applyBorder="1"/>
    <xf numFmtId="0" fontId="4" fillId="22" borderId="40" xfId="0" applyFont="1" applyFill="1" applyBorder="1"/>
    <xf numFmtId="0" fontId="4" fillId="22" borderId="41" xfId="0" applyFont="1" applyFill="1" applyBorder="1"/>
    <xf numFmtId="0" fontId="0" fillId="22" borderId="5" xfId="0" applyFill="1" applyBorder="1"/>
    <xf numFmtId="0" fontId="4" fillId="22" borderId="19" xfId="0" applyFont="1" applyFill="1" applyBorder="1"/>
    <xf numFmtId="0" fontId="0" fillId="22" borderId="0" xfId="0" applyFill="1"/>
    <xf numFmtId="0" fontId="0" fillId="22" borderId="41" xfId="0" applyFill="1" applyBorder="1"/>
    <xf numFmtId="0" fontId="3" fillId="23" borderId="16" xfId="0" applyFont="1" applyFill="1" applyBorder="1"/>
    <xf numFmtId="0" fontId="0" fillId="23" borderId="19" xfId="0" applyFill="1" applyBorder="1"/>
    <xf numFmtId="0" fontId="0" fillId="23" borderId="4" xfId="0" applyFill="1" applyBorder="1"/>
    <xf numFmtId="0" fontId="4" fillId="23" borderId="17" xfId="0" applyFont="1" applyFill="1" applyBorder="1"/>
    <xf numFmtId="0" fontId="0" fillId="23" borderId="0" xfId="0" applyFill="1"/>
    <xf numFmtId="0" fontId="0" fillId="23" borderId="18" xfId="0" applyFill="1" applyBorder="1"/>
    <xf numFmtId="0" fontId="4" fillId="23" borderId="0" xfId="0" applyFont="1" applyFill="1"/>
    <xf numFmtId="0" fontId="4" fillId="23" borderId="40" xfId="0" applyFont="1" applyFill="1" applyBorder="1"/>
    <xf numFmtId="0" fontId="0" fillId="23" borderId="41" xfId="0" applyFill="1" applyBorder="1"/>
    <xf numFmtId="0" fontId="0" fillId="23" borderId="5" xfId="0" applyFill="1" applyBorder="1"/>
    <xf numFmtId="10" fontId="4" fillId="0" borderId="0" xfId="0" applyNumberFormat="1" applyFont="1"/>
    <xf numFmtId="165" fontId="4" fillId="0" borderId="24" xfId="0" applyNumberFormat="1" applyFont="1" applyBorder="1" applyAlignment="1">
      <alignment vertical="center"/>
    </xf>
    <xf numFmtId="9" fontId="0" fillId="0" borderId="0" xfId="0" applyNumberFormat="1"/>
    <xf numFmtId="165" fontId="4" fillId="0" borderId="12" xfId="0" applyNumberFormat="1" applyFont="1" applyBorder="1" applyAlignment="1">
      <alignment horizontal="right"/>
    </xf>
    <xf numFmtId="0" fontId="4" fillId="23" borderId="19" xfId="0" applyFont="1" applyFill="1" applyBorder="1"/>
    <xf numFmtId="0" fontId="3" fillId="23" borderId="2" xfId="0" applyFont="1" applyFill="1" applyBorder="1"/>
    <xf numFmtId="0" fontId="4" fillId="23" borderId="44" xfId="0" applyFont="1" applyFill="1" applyBorder="1"/>
    <xf numFmtId="0" fontId="0" fillId="23" borderId="3" xfId="0" applyFill="1" applyBorder="1"/>
    <xf numFmtId="0" fontId="3" fillId="25" borderId="45" xfId="0" applyFont="1" applyFill="1" applyBorder="1" applyAlignment="1">
      <alignment horizontal="center"/>
    </xf>
    <xf numFmtId="165" fontId="3" fillId="16" borderId="46" xfId="0" applyNumberFormat="1" applyFont="1" applyFill="1" applyBorder="1" applyAlignment="1">
      <alignment horizontal="center"/>
    </xf>
    <xf numFmtId="165" fontId="4" fillId="0" borderId="46" xfId="0" applyNumberFormat="1" applyFont="1" applyBorder="1"/>
    <xf numFmtId="165" fontId="4" fillId="12" borderId="47" xfId="0" applyNumberFormat="1" applyFont="1" applyFill="1" applyBorder="1" applyAlignment="1">
      <alignment horizontal="center" vertical="center"/>
    </xf>
    <xf numFmtId="0" fontId="4" fillId="2" borderId="11" xfId="0" applyFont="1" applyFill="1" applyBorder="1"/>
    <xf numFmtId="165" fontId="4" fillId="2" borderId="12" xfId="0" applyNumberFormat="1" applyFont="1" applyFill="1" applyBorder="1" applyAlignment="1">
      <alignment horizontal="right"/>
    </xf>
    <xf numFmtId="0" fontId="4" fillId="3" borderId="13" xfId="0" applyFont="1" applyFill="1" applyBorder="1"/>
    <xf numFmtId="165" fontId="4" fillId="3" borderId="15" xfId="0" applyNumberFormat="1" applyFont="1" applyFill="1" applyBorder="1" applyAlignment="1">
      <alignment horizontal="right"/>
    </xf>
    <xf numFmtId="164" fontId="4" fillId="0" borderId="19" xfId="0" applyNumberFormat="1" applyFont="1" applyBorder="1"/>
    <xf numFmtId="0" fontId="4" fillId="19" borderId="6" xfId="0" applyFont="1" applyFill="1" applyBorder="1"/>
    <xf numFmtId="165" fontId="4" fillId="19" borderId="5" xfId="0" applyNumberFormat="1" applyFont="1" applyFill="1" applyBorder="1"/>
    <xf numFmtId="0" fontId="4" fillId="20" borderId="6" xfId="0" applyFont="1" applyFill="1" applyBorder="1"/>
    <xf numFmtId="165" fontId="4" fillId="20" borderId="5" xfId="0" applyNumberFormat="1" applyFont="1" applyFill="1" applyBorder="1"/>
    <xf numFmtId="0" fontId="4" fillId="18" borderId="6" xfId="0" applyFont="1" applyFill="1" applyBorder="1"/>
    <xf numFmtId="165" fontId="4" fillId="18" borderId="5" xfId="0" applyNumberFormat="1" applyFont="1" applyFill="1" applyBorder="1"/>
    <xf numFmtId="0" fontId="3" fillId="22" borderId="20" xfId="0" applyFont="1" applyFill="1" applyBorder="1"/>
    <xf numFmtId="0" fontId="0" fillId="22" borderId="21" xfId="0" applyFill="1" applyBorder="1"/>
    <xf numFmtId="0" fontId="4" fillId="22" borderId="11" xfId="0" applyFont="1" applyFill="1" applyBorder="1"/>
    <xf numFmtId="0" fontId="0" fillId="22" borderId="12" xfId="0" applyFill="1" applyBorder="1"/>
    <xf numFmtId="0" fontId="4" fillId="22" borderId="42" xfId="0" applyFont="1" applyFill="1" applyBorder="1"/>
    <xf numFmtId="0" fontId="0" fillId="22" borderId="43" xfId="0" applyFill="1" applyBorder="1"/>
    <xf numFmtId="0" fontId="3" fillId="23" borderId="20" xfId="0" applyFont="1" applyFill="1" applyBorder="1"/>
    <xf numFmtId="0" fontId="0" fillId="23" borderId="21" xfId="0" applyFill="1" applyBorder="1"/>
    <xf numFmtId="0" fontId="3" fillId="23" borderId="48" xfId="0" applyFont="1" applyFill="1" applyBorder="1"/>
    <xf numFmtId="0" fontId="0" fillId="23" borderId="49" xfId="0" applyFill="1" applyBorder="1"/>
    <xf numFmtId="0" fontId="4" fillId="23" borderId="11" xfId="0" applyFont="1" applyFill="1" applyBorder="1"/>
    <xf numFmtId="0" fontId="0" fillId="23" borderId="12" xfId="0" applyFill="1" applyBorder="1"/>
    <xf numFmtId="0" fontId="4" fillId="23" borderId="42" xfId="0" applyFont="1" applyFill="1" applyBorder="1"/>
    <xf numFmtId="0" fontId="0" fillId="23" borderId="43" xfId="0" applyFill="1" applyBorder="1"/>
    <xf numFmtId="0" fontId="4" fillId="23" borderId="13" xfId="0" applyFont="1" applyFill="1" applyBorder="1"/>
    <xf numFmtId="0" fontId="0" fillId="23" borderId="14" xfId="0" applyFill="1" applyBorder="1"/>
    <xf numFmtId="0" fontId="0" fillId="23" borderId="15" xfId="0" applyFill="1" applyBorder="1"/>
    <xf numFmtId="0" fontId="4" fillId="32" borderId="11" xfId="0" applyFont="1" applyFill="1" applyBorder="1"/>
    <xf numFmtId="165" fontId="4" fillId="32" borderId="18" xfId="0" applyNumberFormat="1" applyFont="1" applyFill="1" applyBorder="1"/>
    <xf numFmtId="165" fontId="4" fillId="32" borderId="11" xfId="0" applyNumberFormat="1" applyFont="1" applyFill="1" applyBorder="1"/>
    <xf numFmtId="165" fontId="4" fillId="32" borderId="0" xfId="0" applyNumberFormat="1" applyFont="1" applyFill="1"/>
    <xf numFmtId="0" fontId="4" fillId="32" borderId="0" xfId="0" applyFont="1" applyFill="1"/>
    <xf numFmtId="165" fontId="4" fillId="32" borderId="12" xfId="0" applyNumberFormat="1" applyFont="1" applyFill="1" applyBorder="1"/>
    <xf numFmtId="164" fontId="4" fillId="32" borderId="12" xfId="0" applyNumberFormat="1" applyFont="1" applyFill="1" applyBorder="1" applyAlignment="1">
      <alignment horizontal="right"/>
    </xf>
    <xf numFmtId="0" fontId="4" fillId="33" borderId="11" xfId="0" applyFont="1" applyFill="1" applyBorder="1"/>
    <xf numFmtId="165" fontId="4" fillId="33" borderId="18" xfId="0" applyNumberFormat="1" applyFont="1" applyFill="1" applyBorder="1"/>
    <xf numFmtId="0" fontId="4" fillId="33" borderId="0" xfId="0" applyFont="1" applyFill="1"/>
    <xf numFmtId="165" fontId="4" fillId="0" borderId="28" xfId="0" applyNumberFormat="1" applyFont="1" applyBorder="1" applyAlignment="1">
      <alignment vertical="center"/>
    </xf>
    <xf numFmtId="165" fontId="4" fillId="0" borderId="52" xfId="0" applyNumberFormat="1" applyFont="1" applyBorder="1"/>
    <xf numFmtId="0" fontId="4" fillId="0" borderId="12" xfId="0" applyFont="1" applyBorder="1" applyAlignment="1">
      <alignment horizontal="right"/>
    </xf>
    <xf numFmtId="0" fontId="0" fillId="0" borderId="0" xfId="0" applyAlignment="1">
      <alignment vertical="top" wrapText="1"/>
    </xf>
    <xf numFmtId="165" fontId="4" fillId="2" borderId="0" xfId="0" applyNumberFormat="1" applyFont="1" applyFill="1" applyAlignment="1">
      <alignment horizontal="right"/>
    </xf>
    <xf numFmtId="165" fontId="4" fillId="3" borderId="14" xfId="0" applyNumberFormat="1" applyFont="1" applyFill="1" applyBorder="1" applyAlignment="1">
      <alignment horizontal="right"/>
    </xf>
    <xf numFmtId="0" fontId="4" fillId="0" borderId="60" xfId="0" applyFont="1" applyBorder="1"/>
    <xf numFmtId="0" fontId="4" fillId="33" borderId="60" xfId="0" applyFont="1" applyFill="1" applyBorder="1"/>
    <xf numFmtId="0" fontId="3" fillId="25" borderId="16" xfId="0" applyFont="1" applyFill="1" applyBorder="1" applyAlignment="1">
      <alignment horizontal="center"/>
    </xf>
    <xf numFmtId="165" fontId="3" fillId="16" borderId="17" xfId="0" applyNumberFormat="1" applyFont="1" applyFill="1" applyBorder="1" applyAlignment="1">
      <alignment horizontal="center"/>
    </xf>
    <xf numFmtId="165" fontId="3" fillId="9" borderId="67" xfId="0" applyNumberFormat="1" applyFont="1" applyFill="1" applyBorder="1" applyAlignment="1">
      <alignment horizontal="center"/>
    </xf>
    <xf numFmtId="165" fontId="4" fillId="0" borderId="60" xfId="0" applyNumberFormat="1" applyFont="1" applyBorder="1"/>
    <xf numFmtId="165" fontId="4" fillId="0" borderId="67" xfId="0" applyNumberFormat="1" applyFont="1" applyBorder="1"/>
    <xf numFmtId="164" fontId="4" fillId="0" borderId="67" xfId="0" applyNumberFormat="1" applyFont="1" applyBorder="1" applyAlignment="1">
      <alignment horizontal="right"/>
    </xf>
    <xf numFmtId="165" fontId="4" fillId="12" borderId="61" xfId="0" applyNumberFormat="1" applyFont="1" applyFill="1" applyBorder="1" applyAlignment="1">
      <alignment horizontal="center" vertical="center"/>
    </xf>
    <xf numFmtId="165" fontId="3" fillId="9" borderId="69" xfId="0" applyNumberFormat="1" applyFont="1" applyFill="1" applyBorder="1" applyAlignment="1">
      <alignment horizontal="center"/>
    </xf>
    <xf numFmtId="165" fontId="4" fillId="0" borderId="73" xfId="0" applyNumberFormat="1" applyFont="1" applyBorder="1"/>
    <xf numFmtId="164" fontId="4" fillId="0" borderId="73" xfId="0" applyNumberFormat="1" applyFont="1" applyBorder="1" applyAlignment="1">
      <alignment horizontal="right"/>
    </xf>
    <xf numFmtId="165" fontId="4" fillId="32" borderId="73" xfId="0" applyNumberFormat="1" applyFont="1" applyFill="1" applyBorder="1"/>
    <xf numFmtId="0" fontId="11" fillId="0" borderId="0" xfId="2"/>
    <xf numFmtId="10" fontId="11" fillId="0" borderId="0" xfId="2" applyNumberFormat="1"/>
    <xf numFmtId="165" fontId="11" fillId="0" borderId="0" xfId="2" applyNumberFormat="1"/>
    <xf numFmtId="0" fontId="12" fillId="0" borderId="0" xfId="2" applyFont="1"/>
    <xf numFmtId="10" fontId="12" fillId="34" borderId="0" xfId="2" applyNumberFormat="1" applyFont="1" applyFill="1"/>
    <xf numFmtId="165" fontId="12" fillId="34" borderId="0" xfId="2" applyNumberFormat="1" applyFont="1" applyFill="1"/>
    <xf numFmtId="10" fontId="12" fillId="35" borderId="15" xfId="2" applyNumberFormat="1" applyFont="1" applyFill="1" applyBorder="1" applyAlignment="1">
      <alignment vertical="center" wrapText="1"/>
    </xf>
    <xf numFmtId="165" fontId="12" fillId="35" borderId="13" xfId="2" applyNumberFormat="1" applyFont="1" applyFill="1" applyBorder="1" applyAlignment="1">
      <alignment vertical="center" wrapText="1"/>
    </xf>
    <xf numFmtId="10" fontId="12" fillId="35" borderId="14" xfId="2" applyNumberFormat="1" applyFont="1" applyFill="1" applyBorder="1" applyAlignment="1">
      <alignment vertical="center" wrapText="1"/>
    </xf>
    <xf numFmtId="8" fontId="12" fillId="35" borderId="14" xfId="2" applyNumberFormat="1" applyFont="1" applyFill="1" applyBorder="1" applyAlignment="1">
      <alignment vertical="center" wrapText="1"/>
    </xf>
    <xf numFmtId="8" fontId="12" fillId="35" borderId="13" xfId="2" applyNumberFormat="1" applyFont="1" applyFill="1" applyBorder="1" applyAlignment="1">
      <alignment vertical="center" wrapText="1"/>
    </xf>
    <xf numFmtId="8" fontId="12" fillId="35" borderId="15" xfId="2" applyNumberFormat="1" applyFont="1" applyFill="1" applyBorder="1" applyAlignment="1">
      <alignment vertical="center" wrapText="1"/>
    </xf>
    <xf numFmtId="0" fontId="12" fillId="35" borderId="0" xfId="2" applyFont="1" applyFill="1" applyAlignment="1">
      <alignment vertical="center" wrapText="1"/>
    </xf>
    <xf numFmtId="10" fontId="0" fillId="0" borderId="19" xfId="3" applyNumberFormat="1" applyFont="1" applyBorder="1" applyAlignment="1"/>
    <xf numFmtId="10" fontId="11" fillId="33" borderId="12" xfId="3" applyNumberFormat="1" applyFont="1" applyFill="1" applyBorder="1" applyAlignment="1">
      <alignment horizontal="right" wrapText="1"/>
    </xf>
    <xf numFmtId="10" fontId="11" fillId="33" borderId="0" xfId="3" applyNumberFormat="1" applyFont="1" applyFill="1" applyBorder="1" applyAlignment="1">
      <alignment horizontal="right" wrapText="1"/>
    </xf>
    <xf numFmtId="0" fontId="11" fillId="33" borderId="0" xfId="3" applyNumberFormat="1" applyFont="1" applyFill="1" applyBorder="1" applyAlignment="1">
      <alignment horizontal="right" wrapText="1"/>
    </xf>
    <xf numFmtId="9" fontId="11" fillId="33" borderId="0" xfId="3" applyFont="1" applyFill="1" applyBorder="1" applyAlignment="1">
      <alignment horizontal="right" wrapText="1"/>
    </xf>
    <xf numFmtId="8" fontId="11" fillId="0" borderId="11" xfId="2" applyNumberFormat="1" applyBorder="1" applyAlignment="1">
      <alignment horizontal="right" wrapText="1"/>
    </xf>
    <xf numFmtId="9" fontId="11" fillId="33" borderId="12" xfId="3" applyFont="1" applyFill="1" applyBorder="1" applyAlignment="1">
      <alignment horizontal="right" wrapText="1"/>
    </xf>
    <xf numFmtId="165" fontId="11" fillId="0" borderId="11" xfId="2" applyNumberFormat="1" applyBorder="1" applyAlignment="1">
      <alignment horizontal="right" wrapText="1"/>
    </xf>
    <xf numFmtId="0" fontId="12" fillId="0" borderId="19" xfId="2" applyFont="1" applyBorder="1" applyAlignment="1">
      <alignment wrapText="1"/>
    </xf>
    <xf numFmtId="10" fontId="0" fillId="0" borderId="44" xfId="3" applyNumberFormat="1" applyFont="1" applyBorder="1" applyAlignment="1"/>
    <xf numFmtId="165" fontId="11" fillId="0" borderId="41" xfId="2" applyNumberFormat="1" applyBorder="1"/>
    <xf numFmtId="10" fontId="11" fillId="33" borderId="43" xfId="3" applyNumberFormat="1" applyFont="1" applyFill="1" applyBorder="1" applyAlignment="1">
      <alignment horizontal="right" wrapText="1"/>
    </xf>
    <xf numFmtId="10" fontId="11" fillId="33" borderId="41" xfId="3" applyNumberFormat="1" applyFont="1" applyFill="1" applyBorder="1" applyAlignment="1">
      <alignment horizontal="right" wrapText="1"/>
    </xf>
    <xf numFmtId="0" fontId="11" fillId="33" borderId="41" xfId="3" applyNumberFormat="1" applyFont="1" applyFill="1" applyBorder="1" applyAlignment="1">
      <alignment horizontal="right" wrapText="1"/>
    </xf>
    <xf numFmtId="9" fontId="11" fillId="33" borderId="41" xfId="3" applyFont="1" applyFill="1" applyBorder="1" applyAlignment="1">
      <alignment horizontal="right" wrapText="1"/>
    </xf>
    <xf numFmtId="8" fontId="11" fillId="0" borderId="42" xfId="2" applyNumberFormat="1" applyBorder="1" applyAlignment="1">
      <alignment horizontal="right" wrapText="1"/>
    </xf>
    <xf numFmtId="9" fontId="11" fillId="33" borderId="43" xfId="3" applyFont="1" applyFill="1" applyBorder="1" applyAlignment="1">
      <alignment horizontal="right" wrapText="1"/>
    </xf>
    <xf numFmtId="165" fontId="11" fillId="0" borderId="42" xfId="2" applyNumberFormat="1" applyBorder="1" applyAlignment="1">
      <alignment horizontal="right" wrapText="1"/>
    </xf>
    <xf numFmtId="0" fontId="12" fillId="0" borderId="44" xfId="2" applyFont="1" applyBorder="1" applyAlignment="1">
      <alignment wrapText="1"/>
    </xf>
    <xf numFmtId="165" fontId="11" fillId="33" borderId="43" xfId="3" applyNumberFormat="1" applyFont="1" applyFill="1" applyBorder="1" applyAlignment="1">
      <alignment horizontal="right" wrapText="1"/>
    </xf>
    <xf numFmtId="10" fontId="0" fillId="0" borderId="41" xfId="3" applyNumberFormat="1" applyFont="1" applyBorder="1" applyAlignment="1"/>
    <xf numFmtId="0" fontId="12" fillId="0" borderId="41" xfId="2" applyFont="1" applyBorder="1" applyAlignment="1">
      <alignment wrapText="1"/>
    </xf>
    <xf numFmtId="10" fontId="13" fillId="36" borderId="0" xfId="2" applyNumberFormat="1" applyFont="1" applyFill="1" applyAlignment="1">
      <alignment horizontal="center" vertical="center" wrapText="1"/>
    </xf>
    <xf numFmtId="165" fontId="13" fillId="36" borderId="0" xfId="2" applyNumberFormat="1" applyFont="1" applyFill="1" applyAlignment="1">
      <alignment horizontal="center" vertical="center" wrapText="1"/>
    </xf>
    <xf numFmtId="10" fontId="13" fillId="37" borderId="12" xfId="2" applyNumberFormat="1" applyFont="1" applyFill="1" applyBorder="1" applyAlignment="1">
      <alignment horizontal="center" vertical="center" wrapText="1"/>
    </xf>
    <xf numFmtId="165" fontId="13" fillId="37" borderId="11" xfId="2" applyNumberFormat="1" applyFont="1" applyFill="1" applyBorder="1" applyAlignment="1">
      <alignment horizontal="center" vertical="center" wrapText="1"/>
    </xf>
    <xf numFmtId="10" fontId="13" fillId="37" borderId="0" xfId="2" applyNumberFormat="1" applyFont="1" applyFill="1" applyAlignment="1">
      <alignment horizontal="center" vertical="center" wrapText="1"/>
    </xf>
    <xf numFmtId="8" fontId="13" fillId="37" borderId="0" xfId="2" applyNumberFormat="1" applyFont="1" applyFill="1" applyAlignment="1">
      <alignment horizontal="center" vertical="center" wrapText="1"/>
    </xf>
    <xf numFmtId="8" fontId="13" fillId="37" borderId="11" xfId="2" applyNumberFormat="1" applyFont="1" applyFill="1" applyBorder="1" applyAlignment="1">
      <alignment horizontal="center" vertical="center" wrapText="1"/>
    </xf>
    <xf numFmtId="8" fontId="13" fillId="37" borderId="12" xfId="2" applyNumberFormat="1" applyFont="1" applyFill="1" applyBorder="1" applyAlignment="1">
      <alignment horizontal="center" vertical="center" wrapText="1"/>
    </xf>
    <xf numFmtId="0" fontId="11" fillId="37" borderId="0" xfId="2" applyFill="1"/>
    <xf numFmtId="0" fontId="12" fillId="35" borderId="0" xfId="2" applyFont="1" applyFill="1" applyAlignment="1">
      <alignment horizontal="left" vertical="center" wrapText="1"/>
    </xf>
    <xf numFmtId="165" fontId="11" fillId="0" borderId="11" xfId="3" applyNumberFormat="1" applyFont="1" applyFill="1" applyBorder="1" applyAlignment="1">
      <alignment horizontal="right" wrapText="1"/>
    </xf>
    <xf numFmtId="165" fontId="11" fillId="0" borderId="42" xfId="3" applyNumberFormat="1" applyFont="1" applyFill="1" applyBorder="1" applyAlignment="1">
      <alignment horizontal="right" wrapText="1"/>
    </xf>
    <xf numFmtId="165" fontId="13" fillId="38" borderId="11" xfId="2" applyNumberFormat="1" applyFont="1" applyFill="1" applyBorder="1" applyAlignment="1">
      <alignment horizontal="center" vertical="center" wrapText="1"/>
    </xf>
    <xf numFmtId="10" fontId="13" fillId="38" borderId="12" xfId="2" applyNumberFormat="1" applyFont="1" applyFill="1" applyBorder="1" applyAlignment="1">
      <alignment horizontal="center" vertical="center" wrapText="1"/>
    </xf>
    <xf numFmtId="165" fontId="11" fillId="38" borderId="42" xfId="3" applyNumberFormat="1" applyFont="1" applyFill="1" applyBorder="1" applyAlignment="1">
      <alignment horizontal="right" wrapText="1"/>
    </xf>
    <xf numFmtId="10" fontId="11" fillId="38" borderId="43" xfId="3" applyNumberFormat="1" applyFont="1" applyFill="1" applyBorder="1" applyAlignment="1">
      <alignment horizontal="right" wrapText="1"/>
    </xf>
    <xf numFmtId="0" fontId="11" fillId="38" borderId="43" xfId="3" applyNumberFormat="1" applyFont="1" applyFill="1" applyBorder="1" applyAlignment="1">
      <alignment horizontal="right" wrapText="1"/>
    </xf>
    <xf numFmtId="165" fontId="11" fillId="38" borderId="11" xfId="3" applyNumberFormat="1" applyFont="1" applyFill="1" applyBorder="1" applyAlignment="1">
      <alignment horizontal="right" wrapText="1"/>
    </xf>
    <xf numFmtId="10" fontId="11" fillId="38" borderId="12" xfId="3" applyNumberFormat="1" applyFont="1" applyFill="1" applyBorder="1" applyAlignment="1">
      <alignment horizontal="right" wrapText="1"/>
    </xf>
    <xf numFmtId="0" fontId="11" fillId="38" borderId="12" xfId="3" applyNumberFormat="1" applyFont="1" applyFill="1" applyBorder="1" applyAlignment="1">
      <alignment horizontal="right" wrapText="1"/>
    </xf>
    <xf numFmtId="165" fontId="12" fillId="38" borderId="13" xfId="2" applyNumberFormat="1" applyFont="1" applyFill="1" applyBorder="1" applyAlignment="1">
      <alignment vertical="center" wrapText="1"/>
    </xf>
    <xf numFmtId="10" fontId="12" fillId="38" borderId="15" xfId="2" applyNumberFormat="1" applyFont="1" applyFill="1" applyBorder="1" applyAlignment="1">
      <alignment vertical="center" wrapText="1"/>
    </xf>
    <xf numFmtId="9" fontId="11" fillId="0" borderId="41" xfId="3" applyFont="1" applyFill="1" applyBorder="1" applyAlignment="1">
      <alignment horizontal="right" wrapText="1"/>
    </xf>
    <xf numFmtId="0" fontId="11" fillId="0" borderId="41" xfId="3" applyNumberFormat="1" applyFont="1" applyFill="1" applyBorder="1" applyAlignment="1">
      <alignment horizontal="right" wrapText="1"/>
    </xf>
    <xf numFmtId="10" fontId="0" fillId="0" borderId="44" xfId="3" applyNumberFormat="1" applyFont="1" applyFill="1" applyBorder="1" applyAlignment="1"/>
    <xf numFmtId="165" fontId="4" fillId="33" borderId="17" xfId="0" applyNumberFormat="1" applyFont="1" applyFill="1" applyBorder="1"/>
    <xf numFmtId="165" fontId="13" fillId="39" borderId="0" xfId="2" applyNumberFormat="1" applyFont="1" applyFill="1" applyAlignment="1">
      <alignment horizontal="center" vertical="center" wrapText="1"/>
    </xf>
    <xf numFmtId="10" fontId="13" fillId="39" borderId="0" xfId="2" applyNumberFormat="1" applyFont="1" applyFill="1" applyAlignment="1">
      <alignment horizontal="center" vertical="center" wrapText="1"/>
    </xf>
    <xf numFmtId="0" fontId="12" fillId="39" borderId="12" xfId="2" applyFont="1" applyFill="1" applyBorder="1" applyAlignment="1">
      <alignment horizontal="center" vertical="center" wrapText="1"/>
    </xf>
    <xf numFmtId="0" fontId="12" fillId="39" borderId="0" xfId="2" applyFont="1" applyFill="1" applyAlignment="1">
      <alignment horizontal="center" vertical="center" wrapText="1"/>
    </xf>
    <xf numFmtId="8" fontId="11" fillId="0" borderId="40" xfId="2" applyNumberFormat="1" applyBorder="1"/>
    <xf numFmtId="0" fontId="12" fillId="39" borderId="11" xfId="2" applyFont="1" applyFill="1" applyBorder="1" applyAlignment="1">
      <alignment horizontal="center" vertical="center"/>
    </xf>
    <xf numFmtId="8" fontId="11" fillId="0" borderId="42" xfId="2" applyNumberFormat="1" applyBorder="1"/>
    <xf numFmtId="165" fontId="11" fillId="0" borderId="75" xfId="2" applyNumberFormat="1" applyBorder="1"/>
    <xf numFmtId="0" fontId="4" fillId="0" borderId="76" xfId="0" applyFont="1" applyBorder="1"/>
    <xf numFmtId="165" fontId="4" fillId="0" borderId="76" xfId="0" applyNumberFormat="1" applyFont="1" applyBorder="1"/>
    <xf numFmtId="0" fontId="4" fillId="0" borderId="77" xfId="0" applyFont="1" applyBorder="1"/>
    <xf numFmtId="165" fontId="4" fillId="0" borderId="77" xfId="0" applyNumberFormat="1" applyFont="1" applyBorder="1"/>
    <xf numFmtId="0" fontId="0" fillId="5" borderId="76" xfId="0" applyFill="1" applyBorder="1"/>
    <xf numFmtId="165" fontId="0" fillId="5" borderId="76" xfId="0" applyNumberFormat="1" applyFill="1" applyBorder="1"/>
    <xf numFmtId="0" fontId="2" fillId="0" borderId="0" xfId="0" applyFont="1"/>
    <xf numFmtId="164" fontId="4" fillId="0" borderId="11" xfId="0" applyNumberFormat="1" applyFont="1" applyBorder="1" applyAlignment="1">
      <alignment horizontal="right"/>
    </xf>
    <xf numFmtId="0" fontId="0" fillId="0" borderId="1" xfId="0" applyBorder="1"/>
    <xf numFmtId="0" fontId="0" fillId="0" borderId="78" xfId="0" applyBorder="1"/>
    <xf numFmtId="165" fontId="4" fillId="0" borderId="1" xfId="0" applyNumberFormat="1" applyFont="1" applyBorder="1"/>
    <xf numFmtId="165" fontId="4" fillId="0" borderId="7" xfId="0" applyNumberFormat="1" applyFont="1" applyBorder="1"/>
    <xf numFmtId="8" fontId="13" fillId="40" borderId="11" xfId="2" applyNumberFormat="1" applyFont="1" applyFill="1" applyBorder="1" applyAlignment="1">
      <alignment horizontal="center" vertical="center" wrapText="1"/>
    </xf>
    <xf numFmtId="8" fontId="13" fillId="40" borderId="12" xfId="2" applyNumberFormat="1" applyFont="1" applyFill="1" applyBorder="1" applyAlignment="1">
      <alignment horizontal="center" vertical="center" wrapText="1"/>
    </xf>
    <xf numFmtId="165" fontId="13" fillId="40" borderId="11" xfId="2" applyNumberFormat="1" applyFont="1" applyFill="1" applyBorder="1" applyAlignment="1">
      <alignment horizontal="center" vertical="center" wrapText="1"/>
    </xf>
    <xf numFmtId="8" fontId="13" fillId="40" borderId="0" xfId="2" applyNumberFormat="1" applyFont="1" applyFill="1" applyAlignment="1">
      <alignment horizontal="center" vertical="center" wrapText="1"/>
    </xf>
    <xf numFmtId="10" fontId="13" fillId="40" borderId="12" xfId="2" applyNumberFormat="1" applyFont="1" applyFill="1" applyBorder="1" applyAlignment="1">
      <alignment horizontal="center" vertical="center" wrapText="1"/>
    </xf>
    <xf numFmtId="10" fontId="13" fillId="40" borderId="0" xfId="2" applyNumberFormat="1" applyFont="1" applyFill="1" applyAlignment="1">
      <alignment horizontal="center" vertical="center" wrapText="1"/>
    </xf>
    <xf numFmtId="165" fontId="13" fillId="2" borderId="11" xfId="2" applyNumberFormat="1" applyFont="1" applyFill="1" applyBorder="1" applyAlignment="1">
      <alignment horizontal="center" vertical="center" wrapText="1"/>
    </xf>
    <xf numFmtId="10" fontId="13" fillId="2" borderId="0" xfId="2" applyNumberFormat="1" applyFont="1" applyFill="1" applyAlignment="1">
      <alignment horizontal="center" vertical="center" wrapText="1"/>
    </xf>
    <xf numFmtId="0" fontId="12" fillId="0" borderId="2" xfId="2" applyFont="1" applyBorder="1" applyAlignment="1">
      <alignment horizontal="left" vertical="center" wrapText="1"/>
    </xf>
    <xf numFmtId="0" fontId="11" fillId="0" borderId="2" xfId="2" applyBorder="1"/>
    <xf numFmtId="8" fontId="13" fillId="40" borderId="60" xfId="2" applyNumberFormat="1" applyFont="1" applyFill="1" applyBorder="1" applyAlignment="1">
      <alignment horizontal="center" vertical="center" wrapText="1"/>
    </xf>
    <xf numFmtId="8" fontId="11" fillId="0" borderId="81" xfId="2" applyNumberFormat="1" applyBorder="1" applyAlignment="1">
      <alignment horizontal="right" wrapText="1"/>
    </xf>
    <xf numFmtId="10" fontId="13" fillId="2" borderId="12" xfId="2" applyNumberFormat="1" applyFont="1" applyFill="1" applyBorder="1" applyAlignment="1">
      <alignment horizontal="center" vertical="center" wrapText="1"/>
    </xf>
    <xf numFmtId="165" fontId="4" fillId="0" borderId="61" xfId="0" applyNumberFormat="1" applyFont="1" applyBorder="1"/>
    <xf numFmtId="165" fontId="4" fillId="0" borderId="0" xfId="0" applyNumberFormat="1" applyFont="1" applyAlignment="1">
      <alignment vertical="center"/>
    </xf>
    <xf numFmtId="165" fontId="4" fillId="42" borderId="61" xfId="0" applyNumberFormat="1" applyFont="1" applyFill="1" applyBorder="1" applyAlignment="1">
      <alignment horizontal="center" vertical="center"/>
    </xf>
    <xf numFmtId="0" fontId="0" fillId="36" borderId="12" xfId="0" applyFill="1" applyBorder="1"/>
    <xf numFmtId="0" fontId="0" fillId="36" borderId="14" xfId="0" applyFill="1" applyBorder="1"/>
    <xf numFmtId="0" fontId="0" fillId="36" borderId="15" xfId="0" applyFill="1" applyBorder="1"/>
    <xf numFmtId="0" fontId="0" fillId="44" borderId="12" xfId="0" applyFill="1" applyBorder="1"/>
    <xf numFmtId="164" fontId="4" fillId="0" borderId="60" xfId="0" applyNumberFormat="1" applyFont="1" applyBorder="1" applyAlignment="1">
      <alignment horizontal="right"/>
    </xf>
    <xf numFmtId="0" fontId="3" fillId="44" borderId="11" xfId="0" applyFont="1" applyFill="1" applyBorder="1"/>
    <xf numFmtId="0" fontId="3" fillId="36" borderId="11" xfId="0" applyFont="1" applyFill="1" applyBorder="1"/>
    <xf numFmtId="0" fontId="3" fillId="36" borderId="13" xfId="0" applyFont="1" applyFill="1" applyBorder="1"/>
    <xf numFmtId="0" fontId="4" fillId="44" borderId="0" xfId="0" applyFont="1" applyFill="1"/>
    <xf numFmtId="0" fontId="0" fillId="44" borderId="0" xfId="0" applyFill="1"/>
    <xf numFmtId="0" fontId="4" fillId="36" borderId="0" xfId="0" applyFont="1" applyFill="1"/>
    <xf numFmtId="0" fontId="0" fillId="36" borderId="0" xfId="0" applyFill="1"/>
    <xf numFmtId="165" fontId="4" fillId="42" borderId="5" xfId="0" applyNumberFormat="1" applyFont="1" applyFill="1" applyBorder="1"/>
    <xf numFmtId="165" fontId="4" fillId="43" borderId="5" xfId="0" applyNumberFormat="1" applyFont="1" applyFill="1" applyBorder="1"/>
    <xf numFmtId="165" fontId="4" fillId="45" borderId="5" xfId="0" applyNumberFormat="1" applyFont="1" applyFill="1" applyBorder="1"/>
    <xf numFmtId="0" fontId="3" fillId="42" borderId="6" xfId="0" applyFont="1" applyFill="1" applyBorder="1"/>
    <xf numFmtId="0" fontId="3" fillId="43" borderId="6" xfId="0" applyFont="1" applyFill="1" applyBorder="1"/>
    <xf numFmtId="0" fontId="3" fillId="45" borderId="6" xfId="0" applyFont="1" applyFill="1" applyBorder="1"/>
    <xf numFmtId="0" fontId="3" fillId="14" borderId="6" xfId="0" applyFont="1" applyFill="1" applyBorder="1"/>
    <xf numFmtId="0" fontId="3" fillId="43" borderId="85" xfId="0" applyFont="1" applyFill="1" applyBorder="1" applyAlignment="1">
      <alignment horizontal="center"/>
    </xf>
    <xf numFmtId="165" fontId="3" fillId="9" borderId="85" xfId="0" applyNumberFormat="1" applyFont="1" applyFill="1" applyBorder="1" applyAlignment="1">
      <alignment horizontal="center"/>
    </xf>
    <xf numFmtId="165" fontId="4" fillId="0" borderId="85" xfId="0" applyNumberFormat="1" applyFont="1" applyBorder="1"/>
    <xf numFmtId="164" fontId="4" fillId="0" borderId="85" xfId="0" applyNumberFormat="1" applyFont="1" applyBorder="1" applyAlignment="1">
      <alignment horizontal="right"/>
    </xf>
    <xf numFmtId="165" fontId="4" fillId="43" borderId="84" xfId="0" applyNumberFormat="1" applyFont="1" applyFill="1" applyBorder="1" applyAlignment="1">
      <alignment horizontal="center"/>
    </xf>
    <xf numFmtId="0" fontId="3" fillId="42" borderId="79" xfId="0" applyFont="1" applyFill="1" applyBorder="1" applyAlignment="1">
      <alignment horizontal="center"/>
    </xf>
    <xf numFmtId="165" fontId="3" fillId="16" borderId="7" xfId="0" applyNumberFormat="1" applyFont="1" applyFill="1" applyBorder="1" applyAlignment="1">
      <alignment horizontal="center"/>
    </xf>
    <xf numFmtId="165" fontId="4" fillId="7" borderId="6" xfId="0" applyNumberFormat="1" applyFont="1" applyFill="1" applyBorder="1" applyAlignment="1">
      <alignment horizontal="center"/>
    </xf>
    <xf numFmtId="165" fontId="4" fillId="33" borderId="12" xfId="0" applyNumberFormat="1" applyFont="1" applyFill="1" applyBorder="1"/>
    <xf numFmtId="0" fontId="3" fillId="0" borderId="0" xfId="0" applyFont="1"/>
    <xf numFmtId="0" fontId="4" fillId="0" borderId="0" xfId="0" applyFont="1" applyAlignment="1">
      <alignment vertical="center"/>
    </xf>
    <xf numFmtId="165" fontId="4" fillId="33" borderId="0" xfId="0" applyNumberFormat="1" applyFont="1" applyFill="1"/>
    <xf numFmtId="0" fontId="4" fillId="4" borderId="90" xfId="0" applyFont="1" applyFill="1" applyBorder="1" applyAlignment="1">
      <alignment horizontal="center"/>
    </xf>
    <xf numFmtId="0" fontId="4" fillId="4" borderId="91" xfId="0" applyFont="1" applyFill="1" applyBorder="1" applyAlignment="1">
      <alignment horizontal="center"/>
    </xf>
    <xf numFmtId="0" fontId="4" fillId="0" borderId="18" xfId="0" applyFont="1" applyBorder="1"/>
    <xf numFmtId="0" fontId="3" fillId="42" borderId="7" xfId="0" applyFont="1" applyFill="1" applyBorder="1" applyAlignment="1">
      <alignment horizontal="center"/>
    </xf>
    <xf numFmtId="0" fontId="3" fillId="0" borderId="60" xfId="0" applyFont="1" applyBorder="1" applyAlignment="1">
      <alignment horizontal="center"/>
    </xf>
    <xf numFmtId="164" fontId="4" fillId="0" borderId="60" xfId="0" applyNumberFormat="1" applyFont="1" applyBorder="1"/>
    <xf numFmtId="165" fontId="4" fillId="2" borderId="67" xfId="0" applyNumberFormat="1" applyFont="1" applyFill="1" applyBorder="1" applyAlignment="1">
      <alignment horizontal="right"/>
    </xf>
    <xf numFmtId="165" fontId="4" fillId="3" borderId="63" xfId="0" applyNumberFormat="1" applyFont="1" applyFill="1" applyBorder="1" applyAlignment="1">
      <alignment horizontal="right"/>
    </xf>
    <xf numFmtId="165" fontId="4" fillId="7" borderId="7" xfId="0" applyNumberFormat="1" applyFont="1" applyFill="1" applyBorder="1" applyAlignment="1">
      <alignment horizontal="center"/>
    </xf>
    <xf numFmtId="165" fontId="3" fillId="9" borderId="60" xfId="0" applyNumberFormat="1" applyFont="1" applyFill="1" applyBorder="1" applyAlignment="1">
      <alignment horizontal="center" vertical="center"/>
    </xf>
    <xf numFmtId="165" fontId="4" fillId="0" borderId="60" xfId="0" applyNumberFormat="1" applyFont="1" applyBorder="1" applyAlignment="1">
      <alignment horizontal="right"/>
    </xf>
    <xf numFmtId="0" fontId="3" fillId="0" borderId="60" xfId="0" applyFont="1" applyBorder="1" applyAlignment="1">
      <alignment horizontal="right"/>
    </xf>
    <xf numFmtId="0" fontId="4" fillId="0" borderId="60" xfId="0" applyFont="1" applyBorder="1" applyAlignment="1">
      <alignment horizontal="right"/>
    </xf>
    <xf numFmtId="0" fontId="12" fillId="0" borderId="2" xfId="2" applyFont="1" applyBorder="1" applyAlignment="1">
      <alignment wrapText="1"/>
    </xf>
    <xf numFmtId="0" fontId="12" fillId="44" borderId="2" xfId="2" applyFont="1" applyFill="1" applyBorder="1" applyAlignment="1">
      <alignment wrapText="1"/>
    </xf>
    <xf numFmtId="0" fontId="12" fillId="36" borderId="2" xfId="2" applyFont="1" applyFill="1" applyBorder="1" applyAlignment="1">
      <alignment wrapText="1"/>
    </xf>
    <xf numFmtId="165" fontId="11" fillId="0" borderId="81" xfId="2" applyNumberFormat="1" applyBorder="1" applyAlignment="1">
      <alignment horizontal="right" wrapText="1"/>
    </xf>
    <xf numFmtId="0" fontId="12" fillId="6" borderId="2" xfId="2" applyFont="1" applyFill="1" applyBorder="1" applyAlignment="1">
      <alignment wrapText="1"/>
    </xf>
    <xf numFmtId="8" fontId="11" fillId="6" borderId="81" xfId="2" applyNumberFormat="1" applyFill="1" applyBorder="1" applyAlignment="1">
      <alignment horizontal="right" wrapText="1"/>
    </xf>
    <xf numFmtId="9" fontId="11" fillId="6" borderId="43" xfId="3" applyFont="1" applyFill="1" applyBorder="1" applyAlignment="1">
      <alignment horizontal="right" wrapText="1"/>
    </xf>
    <xf numFmtId="165" fontId="11" fillId="6" borderId="42" xfId="2" applyNumberFormat="1" applyFill="1" applyBorder="1" applyAlignment="1">
      <alignment horizontal="right" wrapText="1"/>
    </xf>
    <xf numFmtId="9" fontId="11" fillId="6" borderId="41" xfId="3" applyFont="1" applyFill="1" applyBorder="1" applyAlignment="1">
      <alignment horizontal="right" wrapText="1"/>
    </xf>
    <xf numFmtId="8" fontId="11" fillId="6" borderId="42" xfId="2" applyNumberFormat="1" applyFill="1" applyBorder="1" applyAlignment="1">
      <alignment horizontal="right" wrapText="1"/>
    </xf>
    <xf numFmtId="0" fontId="11" fillId="6" borderId="41" xfId="3" applyNumberFormat="1" applyFont="1" applyFill="1" applyBorder="1" applyAlignment="1">
      <alignment horizontal="right" wrapText="1"/>
    </xf>
    <xf numFmtId="10" fontId="11" fillId="6" borderId="43" xfId="3" applyNumberFormat="1" applyFont="1" applyFill="1" applyBorder="1" applyAlignment="1">
      <alignment horizontal="right" wrapText="1"/>
    </xf>
    <xf numFmtId="10" fontId="11" fillId="6" borderId="41" xfId="3" applyNumberFormat="1" applyFont="1" applyFill="1" applyBorder="1" applyAlignment="1">
      <alignment horizontal="right" wrapText="1"/>
    </xf>
    <xf numFmtId="165" fontId="11" fillId="6" borderId="42" xfId="3" applyNumberFormat="1" applyFont="1" applyFill="1" applyBorder="1" applyAlignment="1">
      <alignment horizontal="right" wrapText="1"/>
    </xf>
    <xf numFmtId="165" fontId="11" fillId="6" borderId="41" xfId="2" applyNumberFormat="1" applyFill="1" applyBorder="1"/>
    <xf numFmtId="10" fontId="0" fillId="6" borderId="44" xfId="3" applyNumberFormat="1" applyFont="1" applyFill="1" applyBorder="1" applyAlignment="1"/>
    <xf numFmtId="8" fontId="11" fillId="6" borderId="40" xfId="2" applyNumberFormat="1" applyFill="1" applyBorder="1"/>
    <xf numFmtId="8" fontId="11" fillId="6" borderId="42" xfId="2" applyNumberFormat="1" applyFill="1" applyBorder="1"/>
    <xf numFmtId="165" fontId="11" fillId="6" borderId="75" xfId="2" applyNumberFormat="1" applyFill="1" applyBorder="1"/>
    <xf numFmtId="8" fontId="11" fillId="6" borderId="60" xfId="2" applyNumberFormat="1" applyFill="1" applyBorder="1" applyAlignment="1">
      <alignment horizontal="right" wrapText="1"/>
    </xf>
    <xf numFmtId="165" fontId="11" fillId="6" borderId="11" xfId="2" applyNumberFormat="1" applyFill="1" applyBorder="1" applyAlignment="1">
      <alignment horizontal="right" wrapText="1"/>
    </xf>
    <xf numFmtId="9" fontId="11" fillId="6" borderId="0" xfId="3" applyFont="1" applyFill="1" applyBorder="1" applyAlignment="1">
      <alignment horizontal="right" wrapText="1"/>
    </xf>
    <xf numFmtId="8" fontId="11" fillId="6" borderId="11" xfId="2" applyNumberFormat="1" applyFill="1" applyBorder="1" applyAlignment="1">
      <alignment horizontal="right" wrapText="1"/>
    </xf>
    <xf numFmtId="0" fontId="11" fillId="6" borderId="0" xfId="3" applyNumberFormat="1" applyFont="1" applyFill="1" applyBorder="1" applyAlignment="1">
      <alignment horizontal="right" wrapText="1"/>
    </xf>
    <xf numFmtId="165" fontId="11" fillId="6" borderId="11" xfId="3" applyNumberFormat="1" applyFont="1" applyFill="1" applyBorder="1" applyAlignment="1">
      <alignment horizontal="right" wrapText="1"/>
    </xf>
    <xf numFmtId="9" fontId="11" fillId="6" borderId="12" xfId="3" applyFont="1" applyFill="1" applyBorder="1" applyAlignment="1">
      <alignment horizontal="right" wrapText="1"/>
    </xf>
    <xf numFmtId="10" fontId="11" fillId="6" borderId="12" xfId="3" applyNumberFormat="1" applyFont="1" applyFill="1" applyBorder="1" applyAlignment="1">
      <alignment horizontal="right" wrapText="1"/>
    </xf>
    <xf numFmtId="10" fontId="11" fillId="6" borderId="0" xfId="3" applyNumberFormat="1" applyFont="1" applyFill="1" applyBorder="1" applyAlignment="1">
      <alignment horizontal="right" wrapText="1"/>
    </xf>
    <xf numFmtId="165" fontId="11" fillId="6" borderId="0" xfId="2" applyNumberFormat="1" applyFill="1"/>
    <xf numFmtId="10" fontId="0" fillId="6" borderId="19" xfId="3" applyNumberFormat="1" applyFont="1" applyFill="1" applyBorder="1" applyAlignment="1"/>
    <xf numFmtId="8" fontId="11" fillId="6" borderId="17" xfId="2" applyNumberFormat="1" applyFill="1" applyBorder="1"/>
    <xf numFmtId="8" fontId="11" fillId="6" borderId="11" xfId="2" applyNumberFormat="1" applyFill="1" applyBorder="1"/>
    <xf numFmtId="165" fontId="11" fillId="6" borderId="46" xfId="2" applyNumberFormat="1" applyFill="1" applyBorder="1"/>
    <xf numFmtId="0" fontId="12" fillId="0" borderId="16" xfId="2" applyFont="1" applyBorder="1" applyAlignment="1">
      <alignment vertical="center" wrapText="1"/>
    </xf>
    <xf numFmtId="165" fontId="11" fillId="0" borderId="45" xfId="2" applyNumberFormat="1" applyBorder="1"/>
    <xf numFmtId="0" fontId="12" fillId="0" borderId="2" xfId="2" applyFont="1" applyBorder="1"/>
    <xf numFmtId="165" fontId="4" fillId="41" borderId="85" xfId="0" applyNumberFormat="1" applyFont="1" applyFill="1" applyBorder="1"/>
    <xf numFmtId="165" fontId="11" fillId="0" borderId="3" xfId="2" applyNumberFormat="1" applyBorder="1"/>
    <xf numFmtId="8" fontId="11" fillId="0" borderId="4" xfId="2" applyNumberFormat="1" applyBorder="1"/>
    <xf numFmtId="8" fontId="11" fillId="0" borderId="45" xfId="2" applyNumberFormat="1" applyBorder="1"/>
    <xf numFmtId="165" fontId="11" fillId="0" borderId="89" xfId="2" applyNumberFormat="1" applyBorder="1"/>
    <xf numFmtId="165" fontId="4" fillId="0" borderId="94" xfId="0" applyNumberFormat="1" applyFont="1" applyBorder="1"/>
    <xf numFmtId="165" fontId="0" fillId="0" borderId="1" xfId="0" applyNumberFormat="1" applyBorder="1"/>
    <xf numFmtId="165" fontId="4" fillId="33" borderId="11" xfId="0" applyNumberFormat="1" applyFont="1" applyFill="1" applyBorder="1"/>
    <xf numFmtId="165" fontId="4" fillId="33" borderId="0" xfId="0" applyNumberFormat="1" applyFont="1" applyFill="1" applyAlignment="1">
      <alignment horizontal="right"/>
    </xf>
    <xf numFmtId="165" fontId="4" fillId="32" borderId="0" xfId="0" applyNumberFormat="1" applyFont="1" applyFill="1" applyAlignment="1">
      <alignment horizontal="right"/>
    </xf>
    <xf numFmtId="0" fontId="0" fillId="0" borderId="96" xfId="0" applyBorder="1"/>
    <xf numFmtId="0" fontId="4" fillId="32" borderId="77" xfId="0" applyFont="1" applyFill="1" applyBorder="1"/>
    <xf numFmtId="165" fontId="4" fillId="32" borderId="97" xfId="0" applyNumberFormat="1" applyFont="1" applyFill="1" applyBorder="1"/>
    <xf numFmtId="165" fontId="4" fillId="32" borderId="95" xfId="0" applyNumberFormat="1" applyFont="1" applyFill="1" applyBorder="1"/>
    <xf numFmtId="165" fontId="4" fillId="32" borderId="1" xfId="0" applyNumberFormat="1" applyFont="1" applyFill="1" applyBorder="1" applyAlignment="1">
      <alignment horizontal="right"/>
    </xf>
    <xf numFmtId="0" fontId="0" fillId="5" borderId="98" xfId="0" applyFill="1" applyBorder="1"/>
    <xf numFmtId="165" fontId="0" fillId="5" borderId="98" xfId="0" applyNumberFormat="1" applyFill="1" applyBorder="1"/>
    <xf numFmtId="0" fontId="0" fillId="0" borderId="60" xfId="0" applyBorder="1"/>
    <xf numFmtId="165" fontId="4" fillId="0" borderId="97" xfId="0" applyNumberFormat="1" applyFont="1" applyBorder="1"/>
    <xf numFmtId="165" fontId="4" fillId="32" borderId="99" xfId="0" applyNumberFormat="1" applyFont="1" applyFill="1" applyBorder="1"/>
    <xf numFmtId="0" fontId="0" fillId="0" borderId="100" xfId="0" applyBorder="1"/>
    <xf numFmtId="165" fontId="4" fillId="0" borderId="79" xfId="0" applyNumberFormat="1" applyFont="1" applyBorder="1"/>
    <xf numFmtId="165" fontId="4" fillId="32" borderId="1" xfId="0" applyNumberFormat="1" applyFont="1" applyFill="1" applyBorder="1"/>
    <xf numFmtId="164" fontId="4" fillId="0" borderId="0" xfId="0" applyNumberFormat="1" applyFont="1" applyAlignment="1">
      <alignment horizontal="center"/>
    </xf>
    <xf numFmtId="0" fontId="3" fillId="13" borderId="6" xfId="0" applyFont="1" applyFill="1" applyBorder="1"/>
    <xf numFmtId="165" fontId="4" fillId="13" borderId="5" xfId="0" applyNumberFormat="1" applyFont="1" applyFill="1" applyBorder="1"/>
    <xf numFmtId="0" fontId="3" fillId="13" borderId="17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0" fontId="3" fillId="46" borderId="85" xfId="0" applyFont="1" applyFill="1" applyBorder="1" applyAlignment="1">
      <alignment horizontal="center"/>
    </xf>
    <xf numFmtId="0" fontId="3" fillId="47" borderId="11" xfId="0" applyFont="1" applyFill="1" applyBorder="1"/>
    <xf numFmtId="0" fontId="4" fillId="47" borderId="0" xfId="0" applyFont="1" applyFill="1"/>
    <xf numFmtId="0" fontId="4" fillId="47" borderId="12" xfId="0" applyFont="1" applyFill="1" applyBorder="1"/>
    <xf numFmtId="0" fontId="3" fillId="46" borderId="6" xfId="0" applyFont="1" applyFill="1" applyBorder="1"/>
    <xf numFmtId="165" fontId="4" fillId="46" borderId="5" xfId="0" applyNumberFormat="1" applyFont="1" applyFill="1" applyBorder="1"/>
    <xf numFmtId="165" fontId="3" fillId="48" borderId="7" xfId="0" applyNumberFormat="1" applyFont="1" applyFill="1" applyBorder="1" applyAlignment="1">
      <alignment horizontal="center"/>
    </xf>
    <xf numFmtId="165" fontId="3" fillId="48" borderId="17" xfId="0" applyNumberFormat="1" applyFont="1" applyFill="1" applyBorder="1" applyAlignment="1">
      <alignment horizontal="center"/>
    </xf>
    <xf numFmtId="0" fontId="4" fillId="0" borderId="98" xfId="0" applyFont="1" applyBorder="1"/>
    <xf numFmtId="165" fontId="4" fillId="0" borderId="104" xfId="0" applyNumberFormat="1" applyFont="1" applyBorder="1"/>
    <xf numFmtId="165" fontId="4" fillId="0" borderId="103" xfId="0" applyNumberFormat="1" applyFont="1" applyBorder="1"/>
    <xf numFmtId="0" fontId="3" fillId="46" borderId="11" xfId="0" applyFont="1" applyFill="1" applyBorder="1"/>
    <xf numFmtId="0" fontId="4" fillId="46" borderId="0" xfId="0" applyFont="1" applyFill="1"/>
    <xf numFmtId="0" fontId="4" fillId="46" borderId="12" xfId="0" applyFont="1" applyFill="1" applyBorder="1"/>
    <xf numFmtId="165" fontId="4" fillId="0" borderId="4" xfId="0" applyNumberFormat="1" applyFont="1" applyBorder="1"/>
    <xf numFmtId="0" fontId="4" fillId="0" borderId="1" xfId="0" applyFont="1" applyBorder="1"/>
    <xf numFmtId="165" fontId="4" fillId="0" borderId="3" xfId="0" applyNumberFormat="1" applyFont="1" applyBorder="1"/>
    <xf numFmtId="0" fontId="4" fillId="15" borderId="98" xfId="0" applyFont="1" applyFill="1" applyBorder="1"/>
    <xf numFmtId="165" fontId="4" fillId="15" borderId="104" xfId="0" applyNumberFormat="1" applyFont="1" applyFill="1" applyBorder="1"/>
    <xf numFmtId="0" fontId="3" fillId="46" borderId="13" xfId="0" applyFont="1" applyFill="1" applyBorder="1"/>
    <xf numFmtId="0" fontId="4" fillId="46" borderId="14" xfId="0" applyFont="1" applyFill="1" applyBorder="1"/>
    <xf numFmtId="0" fontId="4" fillId="46" borderId="15" xfId="0" applyFont="1" applyFill="1" applyBorder="1"/>
    <xf numFmtId="9" fontId="4" fillId="0" borderId="0" xfId="0" applyNumberFormat="1" applyFont="1"/>
    <xf numFmtId="165" fontId="4" fillId="12" borderId="67" xfId="0" applyNumberFormat="1" applyFont="1" applyFill="1" applyBorder="1" applyAlignment="1">
      <alignment horizontal="right"/>
    </xf>
    <xf numFmtId="165" fontId="4" fillId="13" borderId="7" xfId="0" applyNumberFormat="1" applyFont="1" applyFill="1" applyBorder="1" applyAlignment="1">
      <alignment horizontal="center"/>
    </xf>
    <xf numFmtId="165" fontId="4" fillId="13" borderId="61" xfId="0" applyNumberFormat="1" applyFont="1" applyFill="1" applyBorder="1" applyAlignment="1">
      <alignment horizontal="center" vertical="center"/>
    </xf>
    <xf numFmtId="165" fontId="4" fillId="46" borderId="84" xfId="0" applyNumberFormat="1" applyFont="1" applyFill="1" applyBorder="1" applyAlignment="1">
      <alignment horizontal="center"/>
    </xf>
    <xf numFmtId="165" fontId="4" fillId="14" borderId="63" xfId="0" applyNumberFormat="1" applyFont="1" applyFill="1" applyBorder="1" applyAlignment="1">
      <alignment horizontal="right"/>
    </xf>
    <xf numFmtId="165" fontId="4" fillId="22" borderId="0" xfId="0" applyNumberFormat="1" applyFont="1" applyFill="1"/>
    <xf numFmtId="165" fontId="4" fillId="32" borderId="60" xfId="0" applyNumberFormat="1" applyFont="1" applyFill="1" applyBorder="1"/>
    <xf numFmtId="165" fontId="4" fillId="13" borderId="17" xfId="0" applyNumberFormat="1" applyFont="1" applyFill="1" applyBorder="1" applyAlignment="1">
      <alignment horizontal="center" vertical="center"/>
    </xf>
    <xf numFmtId="0" fontId="0" fillId="0" borderId="18" xfId="0" applyBorder="1"/>
    <xf numFmtId="165" fontId="4" fillId="32" borderId="17" xfId="0" applyNumberFormat="1" applyFont="1" applyFill="1" applyBorder="1"/>
    <xf numFmtId="165" fontId="4" fillId="32" borderId="7" xfId="0" applyNumberFormat="1" applyFont="1" applyFill="1" applyBorder="1"/>
    <xf numFmtId="0" fontId="0" fillId="32" borderId="60" xfId="0" applyFill="1" applyBorder="1"/>
    <xf numFmtId="165" fontId="0" fillId="32" borderId="18" xfId="0" applyNumberFormat="1" applyFill="1" applyBorder="1"/>
    <xf numFmtId="165" fontId="4" fillId="0" borderId="99" xfId="0" applyNumberFormat="1" applyFont="1" applyBorder="1"/>
    <xf numFmtId="165" fontId="4" fillId="0" borderId="1" xfId="0" applyNumberFormat="1" applyFont="1" applyBorder="1" applyAlignment="1">
      <alignment horizontal="right"/>
    </xf>
    <xf numFmtId="165" fontId="4" fillId="0" borderId="3" xfId="0" applyNumberFormat="1" applyFont="1" applyBorder="1" applyAlignment="1">
      <alignment horizontal="right"/>
    </xf>
    <xf numFmtId="164" fontId="4" fillId="32" borderId="0" xfId="0" applyNumberFormat="1" applyFont="1" applyFill="1" applyAlignment="1">
      <alignment horizontal="right"/>
    </xf>
    <xf numFmtId="0" fontId="4" fillId="0" borderId="60" xfId="0" applyFon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2" borderId="0" xfId="0" applyFont="1" applyFill="1"/>
    <xf numFmtId="0" fontId="0" fillId="0" borderId="50" xfId="0" applyBorder="1"/>
    <xf numFmtId="0" fontId="0" fillId="0" borderId="28" xfId="0" applyBorder="1"/>
    <xf numFmtId="0" fontId="0" fillId="0" borderId="29" xfId="0" applyBorder="1"/>
    <xf numFmtId="165" fontId="16" fillId="0" borderId="0" xfId="0" applyNumberFormat="1" applyFont="1"/>
    <xf numFmtId="0" fontId="0" fillId="41" borderId="0" xfId="0" applyFill="1"/>
    <xf numFmtId="165" fontId="0" fillId="41" borderId="12" xfId="0" applyNumberFormat="1" applyFill="1" applyBorder="1"/>
    <xf numFmtId="165" fontId="4" fillId="41" borderId="0" xfId="0" applyNumberFormat="1" applyFont="1" applyFill="1"/>
    <xf numFmtId="0" fontId="8" fillId="9" borderId="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165" fontId="4" fillId="0" borderId="25" xfId="0" applyNumberFormat="1" applyFont="1" applyBorder="1" applyAlignment="1">
      <alignment horizontal="center" vertical="center"/>
    </xf>
    <xf numFmtId="165" fontId="4" fillId="12" borderId="22" xfId="0" applyNumberFormat="1" applyFont="1" applyFill="1" applyBorder="1" applyAlignment="1">
      <alignment horizontal="center"/>
    </xf>
    <xf numFmtId="165" fontId="4" fillId="12" borderId="23" xfId="0" applyNumberFormat="1" applyFont="1" applyFill="1" applyBorder="1" applyAlignment="1">
      <alignment horizontal="center"/>
    </xf>
    <xf numFmtId="165" fontId="3" fillId="14" borderId="13" xfId="0" applyNumberFormat="1" applyFont="1" applyFill="1" applyBorder="1" applyAlignment="1">
      <alignment horizontal="center"/>
    </xf>
    <xf numFmtId="165" fontId="3" fillId="14" borderId="14" xfId="0" applyNumberFormat="1" applyFont="1" applyFill="1" applyBorder="1" applyAlignment="1">
      <alignment horizontal="center"/>
    </xf>
    <xf numFmtId="165" fontId="3" fillId="9" borderId="55" xfId="0" applyNumberFormat="1" applyFont="1" applyFill="1" applyBorder="1" applyAlignment="1">
      <alignment horizontal="center"/>
    </xf>
    <xf numFmtId="165" fontId="4" fillId="0" borderId="28" xfId="0" applyNumberFormat="1" applyFont="1" applyBorder="1" applyAlignment="1">
      <alignment horizontal="center" vertical="center"/>
    </xf>
    <xf numFmtId="0" fontId="3" fillId="9" borderId="0" xfId="0" applyFont="1" applyFill="1" applyAlignment="1">
      <alignment horizontal="center"/>
    </xf>
    <xf numFmtId="165" fontId="3" fillId="9" borderId="60" xfId="0" applyNumberFormat="1" applyFont="1" applyFill="1" applyBorder="1" applyAlignment="1">
      <alignment horizontal="center"/>
    </xf>
    <xf numFmtId="165" fontId="3" fillId="9" borderId="12" xfId="0" applyNumberFormat="1" applyFont="1" applyFill="1" applyBorder="1" applyAlignment="1">
      <alignment horizontal="center"/>
    </xf>
    <xf numFmtId="165" fontId="3" fillId="9" borderId="11" xfId="0" applyNumberFormat="1" applyFont="1" applyFill="1" applyBorder="1" applyAlignment="1">
      <alignment horizontal="center"/>
    </xf>
    <xf numFmtId="165" fontId="3" fillId="9" borderId="73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3" fillId="42" borderId="17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3" borderId="62" xfId="0" applyFont="1" applyFill="1" applyBorder="1" applyAlignment="1">
      <alignment horizontal="center"/>
    </xf>
    <xf numFmtId="0" fontId="3" fillId="3" borderId="63" xfId="0" applyFont="1" applyFill="1" applyBorder="1" applyAlignment="1">
      <alignment horizontal="center"/>
    </xf>
    <xf numFmtId="165" fontId="3" fillId="42" borderId="79" xfId="0" applyNumberFormat="1" applyFont="1" applyFill="1" applyBorder="1" applyAlignment="1">
      <alignment horizontal="center"/>
    </xf>
    <xf numFmtId="165" fontId="3" fillId="43" borderId="16" xfId="0" applyNumberFormat="1" applyFont="1" applyFill="1" applyBorder="1" applyAlignment="1">
      <alignment horizontal="center"/>
    </xf>
    <xf numFmtId="165" fontId="3" fillId="43" borderId="19" xfId="0" applyNumberFormat="1" applyFont="1" applyFill="1" applyBorder="1" applyAlignment="1">
      <alignment horizontal="center"/>
    </xf>
    <xf numFmtId="165" fontId="3" fillId="43" borderId="4" xfId="0" applyNumberFormat="1" applyFont="1" applyFill="1" applyBorder="1" applyAlignment="1">
      <alignment horizontal="center"/>
    </xf>
    <xf numFmtId="165" fontId="14" fillId="21" borderId="24" xfId="0" applyNumberFormat="1" applyFont="1" applyFill="1" applyBorder="1" applyAlignment="1">
      <alignment horizontal="center"/>
    </xf>
    <xf numFmtId="165" fontId="14" fillId="21" borderId="25" xfId="0" applyNumberFormat="1" applyFont="1" applyFill="1" applyBorder="1" applyAlignment="1">
      <alignment horizontal="center"/>
    </xf>
    <xf numFmtId="165" fontId="14" fillId="21" borderId="26" xfId="0" applyNumberFormat="1" applyFont="1" applyFill="1" applyBorder="1" applyAlignment="1">
      <alignment horizontal="center"/>
    </xf>
    <xf numFmtId="165" fontId="4" fillId="7" borderId="0" xfId="0" applyNumberFormat="1" applyFont="1" applyFill="1" applyAlignment="1">
      <alignment horizontal="center"/>
    </xf>
    <xf numFmtId="165" fontId="4" fillId="43" borderId="60" xfId="0" applyNumberFormat="1" applyFont="1" applyFill="1" applyBorder="1" applyAlignment="1">
      <alignment horizontal="center"/>
    </xf>
    <xf numFmtId="165" fontId="4" fillId="43" borderId="18" xfId="0" applyNumberFormat="1" applyFont="1" applyFill="1" applyBorder="1" applyAlignment="1">
      <alignment horizontal="center"/>
    </xf>
    <xf numFmtId="165" fontId="4" fillId="43" borderId="0" xfId="0" applyNumberFormat="1" applyFont="1" applyFill="1" applyAlignment="1">
      <alignment horizontal="center"/>
    </xf>
    <xf numFmtId="165" fontId="4" fillId="43" borderId="17" xfId="0" applyNumberFormat="1" applyFont="1" applyFill="1" applyBorder="1" applyAlignment="1">
      <alignment horizontal="center"/>
    </xf>
    <xf numFmtId="165" fontId="4" fillId="43" borderId="11" xfId="0" applyNumberFormat="1" applyFont="1" applyFill="1" applyBorder="1" applyAlignment="1">
      <alignment horizontal="center"/>
    </xf>
    <xf numFmtId="165" fontId="4" fillId="43" borderId="12" xfId="0" applyNumberFormat="1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5" fontId="4" fillId="42" borderId="0" xfId="0" applyNumberFormat="1" applyFont="1" applyFill="1" applyAlignment="1">
      <alignment horizontal="center"/>
    </xf>
    <xf numFmtId="165" fontId="4" fillId="42" borderId="18" xfId="0" applyNumberFormat="1" applyFont="1" applyFill="1" applyBorder="1" applyAlignment="1">
      <alignment horizontal="center"/>
    </xf>
    <xf numFmtId="165" fontId="4" fillId="42" borderId="17" xfId="0" applyNumberFormat="1" applyFont="1" applyFill="1" applyBorder="1" applyAlignment="1">
      <alignment horizontal="center"/>
    </xf>
    <xf numFmtId="0" fontId="4" fillId="4" borderId="76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17" fontId="3" fillId="21" borderId="24" xfId="0" applyNumberFormat="1" applyFont="1" applyFill="1" applyBorder="1" applyAlignment="1">
      <alignment horizontal="center"/>
    </xf>
    <xf numFmtId="17" fontId="3" fillId="21" borderId="25" xfId="0" applyNumberFormat="1" applyFont="1" applyFill="1" applyBorder="1" applyAlignment="1">
      <alignment horizontal="center"/>
    </xf>
    <xf numFmtId="17" fontId="3" fillId="21" borderId="26" xfId="0" applyNumberFormat="1" applyFont="1" applyFill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165" fontId="3" fillId="21" borderId="80" xfId="0" applyNumberFormat="1" applyFont="1" applyFill="1" applyBorder="1" applyAlignment="1">
      <alignment horizontal="center" vertical="center"/>
    </xf>
    <xf numFmtId="165" fontId="3" fillId="21" borderId="28" xfId="0" applyNumberFormat="1" applyFont="1" applyFill="1" applyBorder="1" applyAlignment="1">
      <alignment horizontal="center" vertical="center"/>
    </xf>
    <xf numFmtId="165" fontId="3" fillId="21" borderId="82" xfId="0" applyNumberFormat="1" applyFont="1" applyFill="1" applyBorder="1" applyAlignment="1">
      <alignment horizontal="center" vertical="center"/>
    </xf>
    <xf numFmtId="0" fontId="3" fillId="42" borderId="60" xfId="0" applyFont="1" applyFill="1" applyBorder="1" applyAlignment="1">
      <alignment horizontal="center"/>
    </xf>
    <xf numFmtId="0" fontId="3" fillId="42" borderId="0" xfId="0" applyFont="1" applyFill="1" applyAlignment="1">
      <alignment horizontal="center"/>
    </xf>
    <xf numFmtId="0" fontId="3" fillId="42" borderId="18" xfId="0" applyFont="1" applyFill="1" applyBorder="1" applyAlignment="1">
      <alignment horizontal="center"/>
    </xf>
    <xf numFmtId="0" fontId="3" fillId="42" borderId="17" xfId="0" applyFont="1" applyFill="1" applyBorder="1" applyAlignment="1">
      <alignment horizontal="center"/>
    </xf>
    <xf numFmtId="0" fontId="3" fillId="43" borderId="60" xfId="0" applyFont="1" applyFill="1" applyBorder="1" applyAlignment="1">
      <alignment horizontal="center"/>
    </xf>
    <xf numFmtId="0" fontId="3" fillId="43" borderId="18" xfId="0" applyFont="1" applyFill="1" applyBorder="1" applyAlignment="1">
      <alignment horizontal="center"/>
    </xf>
    <xf numFmtId="0" fontId="3" fillId="43" borderId="17" xfId="0" applyFont="1" applyFill="1" applyBorder="1" applyAlignment="1">
      <alignment horizontal="center"/>
    </xf>
    <xf numFmtId="0" fontId="3" fillId="43" borderId="0" xfId="0" applyFont="1" applyFill="1" applyAlignment="1">
      <alignment horizontal="center"/>
    </xf>
    <xf numFmtId="0" fontId="3" fillId="43" borderId="11" xfId="0" applyFont="1" applyFill="1" applyBorder="1" applyAlignment="1">
      <alignment horizontal="center"/>
    </xf>
    <xf numFmtId="0" fontId="3" fillId="43" borderId="12" xfId="0" applyFont="1" applyFill="1" applyBorder="1" applyAlignment="1">
      <alignment horizontal="center"/>
    </xf>
    <xf numFmtId="165" fontId="0" fillId="0" borderId="24" xfId="1" applyNumberFormat="1" applyFont="1" applyBorder="1" applyAlignment="1">
      <alignment horizontal="center" vertical="center"/>
    </xf>
    <xf numFmtId="165" fontId="0" fillId="0" borderId="25" xfId="1" applyNumberFormat="1" applyFont="1" applyBorder="1" applyAlignment="1">
      <alignment horizontal="center" vertical="center"/>
    </xf>
    <xf numFmtId="165" fontId="0" fillId="0" borderId="26" xfId="1" applyNumberFormat="1" applyFon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65" fontId="0" fillId="5" borderId="11" xfId="0" applyNumberFormat="1" applyFill="1" applyBorder="1" applyAlignment="1">
      <alignment horizontal="center"/>
    </xf>
    <xf numFmtId="165" fontId="0" fillId="5" borderId="0" xfId="0" applyNumberFormat="1" applyFill="1" applyAlignment="1">
      <alignment horizontal="center"/>
    </xf>
    <xf numFmtId="165" fontId="0" fillId="5" borderId="28" xfId="0" applyNumberFormat="1" applyFill="1" applyBorder="1" applyAlignment="1">
      <alignment horizontal="center"/>
    </xf>
    <xf numFmtId="165" fontId="0" fillId="5" borderId="29" xfId="0" applyNumberFormat="1" applyFill="1" applyBorder="1" applyAlignment="1">
      <alignment horizontal="center"/>
    </xf>
    <xf numFmtId="165" fontId="0" fillId="2" borderId="23" xfId="0" applyNumberFormat="1" applyFill="1" applyBorder="1" applyAlignment="1">
      <alignment horizontal="center"/>
    </xf>
    <xf numFmtId="165" fontId="0" fillId="2" borderId="15" xfId="0" applyNumberForma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2" fillId="7" borderId="19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165" fontId="2" fillId="6" borderId="8" xfId="0" applyNumberFormat="1" applyFont="1" applyFill="1" applyBorder="1" applyAlignment="1">
      <alignment horizontal="center" vertical="center"/>
    </xf>
    <xf numFmtId="165" fontId="2" fillId="6" borderId="9" xfId="0" applyNumberFormat="1" applyFont="1" applyFill="1" applyBorder="1" applyAlignment="1">
      <alignment horizontal="center" vertical="center"/>
    </xf>
    <xf numFmtId="165" fontId="0" fillId="2" borderId="13" xfId="0" applyNumberFormat="1" applyFill="1" applyBorder="1" applyAlignment="1">
      <alignment horizontal="center"/>
    </xf>
    <xf numFmtId="165" fontId="0" fillId="2" borderId="14" xfId="0" applyNumberFormat="1" applyFill="1" applyBorder="1" applyAlignment="1">
      <alignment horizontal="center"/>
    </xf>
    <xf numFmtId="165" fontId="0" fillId="2" borderId="22" xfId="0" applyNumberFormat="1" applyFill="1" applyBorder="1" applyAlignment="1">
      <alignment horizontal="center"/>
    </xf>
    <xf numFmtId="165" fontId="0" fillId="5" borderId="13" xfId="0" applyNumberFormat="1" applyFill="1" applyBorder="1" applyAlignment="1">
      <alignment horizontal="center"/>
    </xf>
    <xf numFmtId="165" fontId="0" fillId="5" borderId="14" xfId="0" applyNumberFormat="1" applyFill="1" applyBorder="1" applyAlignment="1">
      <alignment horizontal="center"/>
    </xf>
    <xf numFmtId="165" fontId="0" fillId="5" borderId="25" xfId="0" applyNumberFormat="1" applyFill="1" applyBorder="1" applyAlignment="1">
      <alignment horizontal="center"/>
    </xf>
    <xf numFmtId="165" fontId="0" fillId="5" borderId="26" xfId="0" applyNumberForma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8" fillId="0" borderId="0" xfId="0" applyFont="1" applyAlignment="1">
      <alignment horizontal="left" vertical="top" wrapText="1"/>
    </xf>
    <xf numFmtId="165" fontId="4" fillId="0" borderId="24" xfId="0" applyNumberFormat="1" applyFont="1" applyBorder="1" applyAlignment="1">
      <alignment horizontal="center" vertical="center"/>
    </xf>
    <xf numFmtId="165" fontId="4" fillId="0" borderId="25" xfId="0" applyNumberFormat="1" applyFont="1" applyBorder="1" applyAlignment="1">
      <alignment horizontal="center" vertical="center"/>
    </xf>
    <xf numFmtId="165" fontId="4" fillId="0" borderId="26" xfId="0" applyNumberFormat="1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165" fontId="4" fillId="0" borderId="39" xfId="0" applyNumberFormat="1" applyFont="1" applyBorder="1" applyAlignment="1">
      <alignment horizontal="center" vertical="center"/>
    </xf>
    <xf numFmtId="165" fontId="4" fillId="12" borderId="38" xfId="0" applyNumberFormat="1" applyFont="1" applyFill="1" applyBorder="1" applyAlignment="1">
      <alignment horizontal="center"/>
    </xf>
    <xf numFmtId="165" fontId="4" fillId="12" borderId="14" xfId="0" applyNumberFormat="1" applyFont="1" applyFill="1" applyBorder="1" applyAlignment="1">
      <alignment horizontal="center"/>
    </xf>
    <xf numFmtId="165" fontId="4" fillId="12" borderId="34" xfId="0" applyNumberFormat="1" applyFont="1" applyFill="1" applyBorder="1" applyAlignment="1">
      <alignment horizontal="center"/>
    </xf>
    <xf numFmtId="165" fontId="4" fillId="12" borderId="33" xfId="0" applyNumberFormat="1" applyFont="1" applyFill="1" applyBorder="1" applyAlignment="1">
      <alignment horizontal="center"/>
    </xf>
    <xf numFmtId="165" fontId="4" fillId="15" borderId="24" xfId="0" applyNumberFormat="1" applyFont="1" applyFill="1" applyBorder="1" applyAlignment="1">
      <alignment horizontal="center"/>
    </xf>
    <xf numFmtId="165" fontId="4" fillId="15" borderId="25" xfId="0" applyNumberFormat="1" applyFont="1" applyFill="1" applyBorder="1" applyAlignment="1">
      <alignment horizontal="center"/>
    </xf>
    <xf numFmtId="165" fontId="4" fillId="15" borderId="30" xfId="0" applyNumberFormat="1" applyFont="1" applyFill="1" applyBorder="1" applyAlignment="1">
      <alignment horizontal="center"/>
    </xf>
    <xf numFmtId="165" fontId="4" fillId="12" borderId="13" xfId="0" applyNumberFormat="1" applyFont="1" applyFill="1" applyBorder="1" applyAlignment="1">
      <alignment horizontal="center"/>
    </xf>
    <xf numFmtId="165" fontId="4" fillId="12" borderId="22" xfId="0" applyNumberFormat="1" applyFont="1" applyFill="1" applyBorder="1" applyAlignment="1">
      <alignment horizontal="center"/>
    </xf>
    <xf numFmtId="165" fontId="4" fillId="12" borderId="23" xfId="0" applyNumberFormat="1" applyFont="1" applyFill="1" applyBorder="1" applyAlignment="1">
      <alignment horizontal="center"/>
    </xf>
    <xf numFmtId="165" fontId="4" fillId="12" borderId="37" xfId="0" applyNumberFormat="1" applyFont="1" applyFill="1" applyBorder="1" applyAlignment="1">
      <alignment horizontal="center"/>
    </xf>
    <xf numFmtId="0" fontId="3" fillId="13" borderId="20" xfId="0" applyFont="1" applyFill="1" applyBorder="1" applyAlignment="1">
      <alignment horizontal="center"/>
    </xf>
    <xf numFmtId="0" fontId="3" fillId="13" borderId="19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3" fillId="13" borderId="16" xfId="0" applyFont="1" applyFill="1" applyBorder="1" applyAlignment="1">
      <alignment horizontal="center"/>
    </xf>
    <xf numFmtId="0" fontId="3" fillId="13" borderId="32" xfId="0" applyFont="1" applyFill="1" applyBorder="1" applyAlignment="1">
      <alignment horizontal="center"/>
    </xf>
    <xf numFmtId="0" fontId="3" fillId="13" borderId="36" xfId="0" applyFont="1" applyFill="1" applyBorder="1" applyAlignment="1">
      <alignment horizontal="center"/>
    </xf>
    <xf numFmtId="165" fontId="3" fillId="11" borderId="8" xfId="0" applyNumberFormat="1" applyFont="1" applyFill="1" applyBorder="1" applyAlignment="1">
      <alignment horizontal="center" vertical="center"/>
    </xf>
    <xf numFmtId="165" fontId="3" fillId="11" borderId="31" xfId="0" applyNumberFormat="1" applyFont="1" applyFill="1" applyBorder="1" applyAlignment="1">
      <alignment horizontal="center" vertical="center"/>
    </xf>
    <xf numFmtId="10" fontId="3" fillId="12" borderId="35" xfId="0" applyNumberFormat="1" applyFont="1" applyFill="1" applyBorder="1" applyAlignment="1">
      <alignment horizontal="center"/>
    </xf>
    <xf numFmtId="10" fontId="3" fillId="12" borderId="10" xfId="0" applyNumberFormat="1" applyFont="1" applyFill="1" applyBorder="1" applyAlignment="1">
      <alignment horizontal="center"/>
    </xf>
    <xf numFmtId="10" fontId="3" fillId="12" borderId="31" xfId="0" applyNumberFormat="1" applyFont="1" applyFill="1" applyBorder="1" applyAlignment="1">
      <alignment horizontal="center"/>
    </xf>
    <xf numFmtId="0" fontId="3" fillId="9" borderId="24" xfId="0" applyFont="1" applyFill="1" applyBorder="1" applyAlignment="1">
      <alignment horizontal="center"/>
    </xf>
    <xf numFmtId="0" fontId="3" fillId="9" borderId="25" xfId="0" applyFont="1" applyFill="1" applyBorder="1" applyAlignment="1">
      <alignment horizontal="center"/>
    </xf>
    <xf numFmtId="0" fontId="3" fillId="9" borderId="30" xfId="0" applyFont="1" applyFill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65" fontId="4" fillId="17" borderId="24" xfId="0" applyNumberFormat="1" applyFont="1" applyFill="1" applyBorder="1" applyAlignment="1">
      <alignment horizontal="center"/>
    </xf>
    <xf numFmtId="165" fontId="4" fillId="17" borderId="25" xfId="0" applyNumberFormat="1" applyFont="1" applyFill="1" applyBorder="1" applyAlignment="1">
      <alignment horizontal="center"/>
    </xf>
    <xf numFmtId="165" fontId="4" fillId="17" borderId="30" xfId="0" applyNumberFormat="1" applyFont="1" applyFill="1" applyBorder="1" applyAlignment="1">
      <alignment horizontal="center"/>
    </xf>
    <xf numFmtId="165" fontId="10" fillId="18" borderId="25" xfId="0" applyNumberFormat="1" applyFont="1" applyFill="1" applyBorder="1" applyAlignment="1">
      <alignment horizontal="center"/>
    </xf>
    <xf numFmtId="165" fontId="10" fillId="18" borderId="30" xfId="0" applyNumberFormat="1" applyFont="1" applyFill="1" applyBorder="1" applyAlignment="1">
      <alignment horizontal="center"/>
    </xf>
    <xf numFmtId="165" fontId="4" fillId="2" borderId="14" xfId="0" applyNumberFormat="1" applyFont="1" applyFill="1" applyBorder="1" applyAlignment="1">
      <alignment horizontal="center"/>
    </xf>
    <xf numFmtId="0" fontId="4" fillId="0" borderId="39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3" fillId="30" borderId="19" xfId="0" applyFont="1" applyFill="1" applyBorder="1" applyAlignment="1">
      <alignment horizontal="center"/>
    </xf>
    <xf numFmtId="0" fontId="3" fillId="30" borderId="4" xfId="0" applyFont="1" applyFill="1" applyBorder="1" applyAlignment="1">
      <alignment horizontal="center"/>
    </xf>
    <xf numFmtId="0" fontId="3" fillId="27" borderId="16" xfId="0" applyFont="1" applyFill="1" applyBorder="1" applyAlignment="1">
      <alignment horizontal="center"/>
    </xf>
    <xf numFmtId="0" fontId="3" fillId="27" borderId="4" xfId="0" applyFont="1" applyFill="1" applyBorder="1" applyAlignment="1">
      <alignment horizontal="center"/>
    </xf>
    <xf numFmtId="165" fontId="3" fillId="21" borderId="8" xfId="0" applyNumberFormat="1" applyFont="1" applyFill="1" applyBorder="1" applyAlignment="1">
      <alignment horizontal="center" vertical="center"/>
    </xf>
    <xf numFmtId="165" fontId="3" fillId="21" borderId="10" xfId="0" applyNumberFormat="1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/>
    </xf>
    <xf numFmtId="0" fontId="3" fillId="19" borderId="10" xfId="0" applyFont="1" applyFill="1" applyBorder="1" applyAlignment="1">
      <alignment horizontal="center"/>
    </xf>
    <xf numFmtId="0" fontId="3" fillId="27" borderId="20" xfId="0" applyFont="1" applyFill="1" applyBorder="1" applyAlignment="1">
      <alignment horizontal="center"/>
    </xf>
    <xf numFmtId="0" fontId="3" fillId="27" borderId="19" xfId="0" applyFont="1" applyFill="1" applyBorder="1" applyAlignment="1">
      <alignment horizontal="center"/>
    </xf>
    <xf numFmtId="0" fontId="3" fillId="24" borderId="19" xfId="0" applyFont="1" applyFill="1" applyBorder="1" applyAlignment="1">
      <alignment horizontal="center"/>
    </xf>
    <xf numFmtId="0" fontId="3" fillId="24" borderId="4" xfId="0" applyFont="1" applyFill="1" applyBorder="1" applyAlignment="1">
      <alignment horizontal="center"/>
    </xf>
    <xf numFmtId="0" fontId="3" fillId="26" borderId="20" xfId="0" applyFont="1" applyFill="1" applyBorder="1" applyAlignment="1">
      <alignment horizontal="center"/>
    </xf>
    <xf numFmtId="0" fontId="3" fillId="26" borderId="4" xfId="0" applyFont="1" applyFill="1" applyBorder="1" applyAlignment="1">
      <alignment horizontal="center"/>
    </xf>
    <xf numFmtId="0" fontId="3" fillId="29" borderId="19" xfId="0" applyFont="1" applyFill="1" applyBorder="1" applyAlignment="1">
      <alignment horizontal="center"/>
    </xf>
    <xf numFmtId="0" fontId="3" fillId="28" borderId="19" xfId="0" applyFont="1" applyFill="1" applyBorder="1" applyAlignment="1">
      <alignment horizontal="center"/>
    </xf>
    <xf numFmtId="0" fontId="3" fillId="28" borderId="32" xfId="0" applyFont="1" applyFill="1" applyBorder="1" applyAlignment="1">
      <alignment horizontal="center"/>
    </xf>
    <xf numFmtId="0" fontId="3" fillId="31" borderId="16" xfId="0" applyFont="1" applyFill="1" applyBorder="1" applyAlignment="1">
      <alignment horizontal="center"/>
    </xf>
    <xf numFmtId="0" fontId="3" fillId="31" borderId="4" xfId="0" applyFont="1" applyFill="1" applyBorder="1" applyAlignment="1">
      <alignment horizontal="center"/>
    </xf>
    <xf numFmtId="0" fontId="3" fillId="20" borderId="8" xfId="0" applyFont="1" applyFill="1" applyBorder="1" applyAlignment="1">
      <alignment horizontal="center"/>
    </xf>
    <xf numFmtId="0" fontId="3" fillId="20" borderId="10" xfId="0" applyFont="1" applyFill="1" applyBorder="1" applyAlignment="1">
      <alignment horizontal="center"/>
    </xf>
    <xf numFmtId="0" fontId="3" fillId="20" borderId="3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165" fontId="4" fillId="19" borderId="24" xfId="0" applyNumberFormat="1" applyFont="1" applyFill="1" applyBorder="1" applyAlignment="1">
      <alignment horizontal="center"/>
    </xf>
    <xf numFmtId="165" fontId="4" fillId="19" borderId="25" xfId="0" applyNumberFormat="1" applyFont="1" applyFill="1" applyBorder="1" applyAlignment="1">
      <alignment horizontal="center"/>
    </xf>
    <xf numFmtId="165" fontId="4" fillId="19" borderId="26" xfId="0" applyNumberFormat="1" applyFont="1" applyFill="1" applyBorder="1" applyAlignment="1">
      <alignment horizontal="center"/>
    </xf>
    <xf numFmtId="165" fontId="4" fillId="20" borderId="24" xfId="0" applyNumberFormat="1" applyFont="1" applyFill="1" applyBorder="1" applyAlignment="1">
      <alignment horizontal="center"/>
    </xf>
    <xf numFmtId="165" fontId="4" fillId="20" borderId="25" xfId="0" applyNumberFormat="1" applyFont="1" applyFill="1" applyBorder="1" applyAlignment="1">
      <alignment horizontal="center"/>
    </xf>
    <xf numFmtId="165" fontId="4" fillId="20" borderId="30" xfId="0" applyNumberFormat="1" applyFont="1" applyFill="1" applyBorder="1" applyAlignment="1">
      <alignment horizontal="center"/>
    </xf>
    <xf numFmtId="165" fontId="4" fillId="19" borderId="62" xfId="0" applyNumberFormat="1" applyFont="1" applyFill="1" applyBorder="1" applyAlignment="1">
      <alignment horizontal="center"/>
    </xf>
    <xf numFmtId="165" fontId="4" fillId="19" borderId="63" xfId="0" applyNumberFormat="1" applyFont="1" applyFill="1" applyBorder="1" applyAlignment="1">
      <alignment horizontal="center"/>
    </xf>
    <xf numFmtId="165" fontId="4" fillId="19" borderId="68" xfId="0" applyNumberFormat="1" applyFont="1" applyFill="1" applyBorder="1" applyAlignment="1">
      <alignment horizontal="center"/>
    </xf>
    <xf numFmtId="165" fontId="4" fillId="20" borderId="62" xfId="0" applyNumberFormat="1" applyFont="1" applyFill="1" applyBorder="1" applyAlignment="1">
      <alignment horizontal="center"/>
    </xf>
    <xf numFmtId="165" fontId="4" fillId="20" borderId="63" xfId="0" applyNumberFormat="1" applyFont="1" applyFill="1" applyBorder="1" applyAlignment="1">
      <alignment horizontal="center"/>
    </xf>
    <xf numFmtId="165" fontId="4" fillId="20" borderId="68" xfId="0" applyNumberFormat="1" applyFont="1" applyFill="1" applyBorder="1" applyAlignment="1">
      <alignment horizontal="center"/>
    </xf>
    <xf numFmtId="165" fontId="10" fillId="18" borderId="14" xfId="0" applyNumberFormat="1" applyFont="1" applyFill="1" applyBorder="1" applyAlignment="1">
      <alignment horizontal="center"/>
    </xf>
    <xf numFmtId="165" fontId="10" fillId="18" borderId="33" xfId="0" applyNumberFormat="1" applyFont="1" applyFill="1" applyBorder="1" applyAlignment="1">
      <alignment horizontal="center"/>
    </xf>
    <xf numFmtId="165" fontId="4" fillId="0" borderId="28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3" fillId="28" borderId="66" xfId="0" applyFont="1" applyFill="1" applyBorder="1" applyAlignment="1">
      <alignment horizontal="center"/>
    </xf>
    <xf numFmtId="165" fontId="4" fillId="12" borderId="60" xfId="0" applyNumberFormat="1" applyFont="1" applyFill="1" applyBorder="1" applyAlignment="1">
      <alignment horizontal="center"/>
    </xf>
    <xf numFmtId="165" fontId="4" fillId="12" borderId="18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5" fontId="4" fillId="12" borderId="0" xfId="0" applyNumberFormat="1" applyFont="1" applyFill="1" applyAlignment="1">
      <alignment horizontal="center"/>
    </xf>
    <xf numFmtId="165" fontId="4" fillId="12" borderId="17" xfId="0" applyNumberFormat="1" applyFont="1" applyFill="1" applyBorder="1" applyAlignment="1">
      <alignment horizontal="center"/>
    </xf>
    <xf numFmtId="165" fontId="4" fillId="12" borderId="67" xfId="0" applyNumberFormat="1" applyFont="1" applyFill="1" applyBorder="1" applyAlignment="1">
      <alignment horizontal="center"/>
    </xf>
    <xf numFmtId="0" fontId="3" fillId="27" borderId="59" xfId="0" applyFont="1" applyFill="1" applyBorder="1" applyAlignment="1">
      <alignment horizontal="center"/>
    </xf>
    <xf numFmtId="0" fontId="3" fillId="26" borderId="59" xfId="0" applyFont="1" applyFill="1" applyBorder="1" applyAlignment="1">
      <alignment horizontal="center"/>
    </xf>
    <xf numFmtId="0" fontId="3" fillId="9" borderId="28" xfId="0" applyFont="1" applyFill="1" applyBorder="1" applyAlignment="1">
      <alignment horizontal="center"/>
    </xf>
    <xf numFmtId="0" fontId="3" fillId="9" borderId="51" xfId="0" applyFont="1" applyFill="1" applyBorder="1" applyAlignment="1">
      <alignment horizontal="center"/>
    </xf>
    <xf numFmtId="0" fontId="3" fillId="19" borderId="57" xfId="0" applyFont="1" applyFill="1" applyBorder="1" applyAlignment="1">
      <alignment horizontal="center"/>
    </xf>
    <xf numFmtId="0" fontId="3" fillId="20" borderId="57" xfId="0" applyFont="1" applyFill="1" applyBorder="1" applyAlignment="1">
      <alignment horizontal="center"/>
    </xf>
    <xf numFmtId="0" fontId="3" fillId="20" borderId="58" xfId="0" applyFont="1" applyFill="1" applyBorder="1" applyAlignment="1">
      <alignment horizontal="center"/>
    </xf>
    <xf numFmtId="0" fontId="3" fillId="9" borderId="50" xfId="0" applyFont="1" applyFill="1" applyBorder="1" applyAlignment="1">
      <alignment horizontal="center"/>
    </xf>
    <xf numFmtId="165" fontId="3" fillId="9" borderId="53" xfId="0" applyNumberFormat="1" applyFont="1" applyFill="1" applyBorder="1" applyAlignment="1">
      <alignment horizontal="center"/>
    </xf>
    <xf numFmtId="165" fontId="3" fillId="9" borderId="54" xfId="0" applyNumberFormat="1" applyFont="1" applyFill="1" applyBorder="1" applyAlignment="1">
      <alignment horizontal="center"/>
    </xf>
    <xf numFmtId="165" fontId="3" fillId="9" borderId="55" xfId="0" applyNumberFormat="1" applyFont="1" applyFill="1" applyBorder="1" applyAlignment="1">
      <alignment horizontal="center"/>
    </xf>
    <xf numFmtId="165" fontId="3" fillId="9" borderId="64" xfId="0" applyNumberFormat="1" applyFont="1" applyFill="1" applyBorder="1" applyAlignment="1">
      <alignment horizontal="center"/>
    </xf>
    <xf numFmtId="165" fontId="3" fillId="14" borderId="13" xfId="0" applyNumberFormat="1" applyFont="1" applyFill="1" applyBorder="1" applyAlignment="1">
      <alignment horizontal="center"/>
    </xf>
    <xf numFmtId="165" fontId="3" fillId="14" borderId="65" xfId="0" applyNumberFormat="1" applyFont="1" applyFill="1" applyBorder="1" applyAlignment="1">
      <alignment horizontal="center"/>
    </xf>
    <xf numFmtId="165" fontId="3" fillId="14" borderId="15" xfId="0" applyNumberFormat="1" applyFont="1" applyFill="1" applyBorder="1" applyAlignment="1">
      <alignment horizontal="center"/>
    </xf>
    <xf numFmtId="165" fontId="3" fillId="14" borderId="56" xfId="0" applyNumberFormat="1" applyFont="1" applyFill="1" applyBorder="1" applyAlignment="1">
      <alignment horizontal="center"/>
    </xf>
    <xf numFmtId="165" fontId="3" fillId="14" borderId="14" xfId="0" applyNumberFormat="1" applyFont="1" applyFill="1" applyBorder="1" applyAlignment="1">
      <alignment horizontal="center"/>
    </xf>
    <xf numFmtId="0" fontId="3" fillId="14" borderId="13" xfId="0" applyFont="1" applyFill="1" applyBorder="1" applyAlignment="1">
      <alignment horizontal="center"/>
    </xf>
    <xf numFmtId="0" fontId="3" fillId="14" borderId="14" xfId="0" applyFont="1" applyFill="1" applyBorder="1" applyAlignment="1">
      <alignment horizontal="center"/>
    </xf>
    <xf numFmtId="165" fontId="4" fillId="12" borderId="73" xfId="0" applyNumberFormat="1" applyFont="1" applyFill="1" applyBorder="1" applyAlignment="1">
      <alignment horizontal="center"/>
    </xf>
    <xf numFmtId="165" fontId="4" fillId="20" borderId="74" xfId="0" applyNumberFormat="1" applyFont="1" applyFill="1" applyBorder="1" applyAlignment="1">
      <alignment horizontal="center"/>
    </xf>
    <xf numFmtId="165" fontId="3" fillId="9" borderId="11" xfId="0" applyNumberFormat="1" applyFont="1" applyFill="1" applyBorder="1" applyAlignment="1">
      <alignment horizontal="center"/>
    </xf>
    <xf numFmtId="165" fontId="3" fillId="9" borderId="12" xfId="0" applyNumberFormat="1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165" fontId="3" fillId="9" borderId="60" xfId="0" applyNumberFormat="1" applyFont="1" applyFill="1" applyBorder="1" applyAlignment="1">
      <alignment horizontal="center"/>
    </xf>
    <xf numFmtId="0" fontId="3" fillId="9" borderId="70" xfId="0" applyFont="1" applyFill="1" applyBorder="1" applyAlignment="1">
      <alignment horizontal="center"/>
    </xf>
    <xf numFmtId="0" fontId="3" fillId="9" borderId="71" xfId="0" applyFont="1" applyFill="1" applyBorder="1" applyAlignment="1">
      <alignment horizontal="center"/>
    </xf>
    <xf numFmtId="0" fontId="3" fillId="9" borderId="72" xfId="0" applyFont="1" applyFill="1" applyBorder="1" applyAlignment="1">
      <alignment horizontal="center"/>
    </xf>
    <xf numFmtId="165" fontId="3" fillId="9" borderId="73" xfId="0" applyNumberFormat="1" applyFont="1" applyFill="1" applyBorder="1" applyAlignment="1">
      <alignment horizontal="center"/>
    </xf>
    <xf numFmtId="165" fontId="3" fillId="14" borderId="33" xfId="0" applyNumberFormat="1" applyFont="1" applyFill="1" applyBorder="1" applyAlignment="1">
      <alignment horizontal="center"/>
    </xf>
    <xf numFmtId="17" fontId="12" fillId="38" borderId="50" xfId="2" applyNumberFormat="1" applyFont="1" applyFill="1" applyBorder="1" applyAlignment="1">
      <alignment horizontal="center" vertical="center" wrapText="1"/>
    </xf>
    <xf numFmtId="0" fontId="12" fillId="38" borderId="29" xfId="2" applyFont="1" applyFill="1" applyBorder="1" applyAlignment="1">
      <alignment horizontal="center" vertical="center" wrapText="1"/>
    </xf>
    <xf numFmtId="0" fontId="12" fillId="34" borderId="0" xfId="2" applyFont="1" applyFill="1" applyAlignment="1">
      <alignment horizontal="center"/>
    </xf>
    <xf numFmtId="0" fontId="12" fillId="35" borderId="50" xfId="2" applyFont="1" applyFill="1" applyBorder="1" applyAlignment="1">
      <alignment horizontal="center" vertical="center" wrapText="1"/>
    </xf>
    <xf numFmtId="0" fontId="12" fillId="35" borderId="29" xfId="2" applyFont="1" applyFill="1" applyBorder="1" applyAlignment="1">
      <alignment horizontal="center" vertical="center" wrapText="1"/>
    </xf>
    <xf numFmtId="0" fontId="12" fillId="35" borderId="28" xfId="2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3" fillId="42" borderId="16" xfId="0" applyFont="1" applyFill="1" applyBorder="1" applyAlignment="1">
      <alignment horizontal="center"/>
    </xf>
    <xf numFmtId="0" fontId="3" fillId="42" borderId="4" xfId="0" applyFont="1" applyFill="1" applyBorder="1" applyAlignment="1">
      <alignment horizontal="center"/>
    </xf>
    <xf numFmtId="165" fontId="4" fillId="42" borderId="40" xfId="0" applyNumberFormat="1" applyFont="1" applyFill="1" applyBorder="1" applyAlignment="1">
      <alignment horizontal="center"/>
    </xf>
    <xf numFmtId="165" fontId="4" fillId="42" borderId="5" xfId="0" applyNumberFormat="1" applyFont="1" applyFill="1" applyBorder="1" applyAlignment="1">
      <alignment horizontal="center"/>
    </xf>
    <xf numFmtId="17" fontId="3" fillId="9" borderId="8" xfId="0" applyNumberFormat="1" applyFont="1" applyFill="1" applyBorder="1" applyAlignment="1">
      <alignment horizontal="center"/>
    </xf>
    <xf numFmtId="17" fontId="3" fillId="9" borderId="10" xfId="0" applyNumberFormat="1" applyFont="1" applyFill="1" applyBorder="1" applyAlignment="1">
      <alignment horizontal="center"/>
    </xf>
    <xf numFmtId="17" fontId="3" fillId="9" borderId="9" xfId="0" applyNumberFormat="1" applyFont="1" applyFill="1" applyBorder="1" applyAlignment="1">
      <alignment horizontal="center"/>
    </xf>
    <xf numFmtId="165" fontId="3" fillId="21" borderId="42" xfId="0" applyNumberFormat="1" applyFont="1" applyFill="1" applyBorder="1" applyAlignment="1">
      <alignment horizontal="center" vertical="center"/>
    </xf>
    <xf numFmtId="165" fontId="3" fillId="21" borderId="83" xfId="0" applyNumberFormat="1" applyFont="1" applyFill="1" applyBorder="1" applyAlignment="1">
      <alignment horizontal="center" vertical="center"/>
    </xf>
    <xf numFmtId="165" fontId="14" fillId="45" borderId="86" xfId="0" applyNumberFormat="1" applyFont="1" applyFill="1" applyBorder="1" applyAlignment="1">
      <alignment horizontal="center"/>
    </xf>
    <xf numFmtId="165" fontId="14" fillId="45" borderId="87" xfId="0" applyNumberFormat="1" applyFont="1" applyFill="1" applyBorder="1" applyAlignment="1">
      <alignment horizontal="center"/>
    </xf>
    <xf numFmtId="165" fontId="14" fillId="45" borderId="88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165" fontId="3" fillId="42" borderId="1" xfId="0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65" fontId="4" fillId="42" borderId="60" xfId="0" applyNumberFormat="1" applyFont="1" applyFill="1" applyBorder="1" applyAlignment="1">
      <alignment horizontal="center"/>
    </xf>
    <xf numFmtId="165" fontId="3" fillId="43" borderId="2" xfId="0" applyNumberFormat="1" applyFont="1" applyFill="1" applyBorder="1" applyAlignment="1">
      <alignment horizontal="center"/>
    </xf>
    <xf numFmtId="165" fontId="3" fillId="43" borderId="44" xfId="0" applyNumberFormat="1" applyFont="1" applyFill="1" applyBorder="1" applyAlignment="1">
      <alignment horizontal="center"/>
    </xf>
    <xf numFmtId="165" fontId="3" fillId="43" borderId="3" xfId="0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43" borderId="59" xfId="0" applyFont="1" applyFill="1" applyBorder="1" applyAlignment="1">
      <alignment horizontal="center"/>
    </xf>
    <xf numFmtId="0" fontId="3" fillId="43" borderId="4" xfId="0" applyFont="1" applyFill="1" applyBorder="1" applyAlignment="1">
      <alignment horizontal="center"/>
    </xf>
    <xf numFmtId="0" fontId="3" fillId="43" borderId="16" xfId="0" applyFont="1" applyFill="1" applyBorder="1" applyAlignment="1">
      <alignment horizontal="center"/>
    </xf>
    <xf numFmtId="0" fontId="3" fillId="43" borderId="21" xfId="0" applyFont="1" applyFill="1" applyBorder="1" applyAlignment="1">
      <alignment horizontal="center"/>
    </xf>
    <xf numFmtId="0" fontId="3" fillId="43" borderId="20" xfId="0" applyFont="1" applyFill="1" applyBorder="1" applyAlignment="1">
      <alignment horizontal="center"/>
    </xf>
    <xf numFmtId="165" fontId="3" fillId="21" borderId="48" xfId="0" applyNumberFormat="1" applyFont="1" applyFill="1" applyBorder="1" applyAlignment="1">
      <alignment horizontal="center" vertical="center"/>
    </xf>
    <xf numFmtId="165" fontId="3" fillId="21" borderId="92" xfId="0" applyNumberFormat="1" applyFont="1" applyFill="1" applyBorder="1" applyAlignment="1">
      <alignment horizontal="center" vertical="center"/>
    </xf>
    <xf numFmtId="0" fontId="3" fillId="42" borderId="59" xfId="0" applyFont="1" applyFill="1" applyBorder="1" applyAlignment="1">
      <alignment horizontal="center"/>
    </xf>
    <xf numFmtId="165" fontId="4" fillId="43" borderId="41" xfId="0" applyNumberFormat="1" applyFont="1" applyFill="1" applyBorder="1" applyAlignment="1">
      <alignment horizontal="center"/>
    </xf>
    <xf numFmtId="165" fontId="4" fillId="43" borderId="43" xfId="0" applyNumberFormat="1" applyFont="1" applyFill="1" applyBorder="1" applyAlignment="1">
      <alignment horizontal="center"/>
    </xf>
    <xf numFmtId="165" fontId="4" fillId="7" borderId="40" xfId="0" applyNumberFormat="1" applyFont="1" applyFill="1" applyBorder="1" applyAlignment="1">
      <alignment horizontal="center"/>
    </xf>
    <xf numFmtId="165" fontId="4" fillId="7" borderId="5" xfId="0" applyNumberFormat="1" applyFont="1" applyFill="1" applyBorder="1" applyAlignment="1">
      <alignment horizontal="center"/>
    </xf>
    <xf numFmtId="165" fontId="4" fillId="43" borderId="81" xfId="0" applyNumberFormat="1" applyFont="1" applyFill="1" applyBorder="1" applyAlignment="1">
      <alignment horizontal="center"/>
    </xf>
    <xf numFmtId="165" fontId="4" fillId="43" borderId="5" xfId="0" applyNumberFormat="1" applyFont="1" applyFill="1" applyBorder="1" applyAlignment="1">
      <alignment horizontal="center"/>
    </xf>
    <xf numFmtId="165" fontId="4" fillId="43" borderId="40" xfId="0" applyNumberFormat="1" applyFont="1" applyFill="1" applyBorder="1" applyAlignment="1">
      <alignment horizontal="center"/>
    </xf>
    <xf numFmtId="165" fontId="4" fillId="42" borderId="81" xfId="0" applyNumberFormat="1" applyFont="1" applyFill="1" applyBorder="1" applyAlignment="1">
      <alignment horizontal="center"/>
    </xf>
    <xf numFmtId="0" fontId="3" fillId="14" borderId="62" xfId="0" applyFont="1" applyFill="1" applyBorder="1" applyAlignment="1">
      <alignment horizontal="center"/>
    </xf>
    <xf numFmtId="0" fontId="3" fillId="14" borderId="63" xfId="0" applyFont="1" applyFill="1" applyBorder="1" applyAlignment="1">
      <alignment horizontal="center"/>
    </xf>
    <xf numFmtId="165" fontId="3" fillId="13" borderId="113" xfId="0" applyNumberFormat="1" applyFont="1" applyFill="1" applyBorder="1" applyAlignment="1">
      <alignment horizontal="center"/>
    </xf>
    <xf numFmtId="165" fontId="3" fillId="13" borderId="87" xfId="0" applyNumberFormat="1" applyFont="1" applyFill="1" applyBorder="1" applyAlignment="1">
      <alignment horizontal="center"/>
    </xf>
    <xf numFmtId="165" fontId="3" fillId="13" borderId="114" xfId="0" applyNumberFormat="1" applyFont="1" applyFill="1" applyBorder="1" applyAlignment="1">
      <alignment horizontal="center"/>
    </xf>
    <xf numFmtId="165" fontId="3" fillId="46" borderId="113" xfId="0" applyNumberFormat="1" applyFont="1" applyFill="1" applyBorder="1" applyAlignment="1">
      <alignment horizontal="center"/>
    </xf>
    <xf numFmtId="165" fontId="3" fillId="46" borderId="87" xfId="0" applyNumberFormat="1" applyFont="1" applyFill="1" applyBorder="1" applyAlignment="1">
      <alignment horizontal="center"/>
    </xf>
    <xf numFmtId="165" fontId="3" fillId="46" borderId="115" xfId="0" applyNumberFormat="1" applyFont="1" applyFill="1" applyBorder="1" applyAlignment="1">
      <alignment horizontal="center"/>
    </xf>
    <xf numFmtId="165" fontId="15" fillId="12" borderId="24" xfId="0" applyNumberFormat="1" applyFont="1" applyFill="1" applyBorder="1" applyAlignment="1">
      <alignment horizontal="center"/>
    </xf>
    <xf numFmtId="165" fontId="15" fillId="12" borderId="25" xfId="0" applyNumberFormat="1" applyFont="1" applyFill="1" applyBorder="1" applyAlignment="1">
      <alignment horizontal="center"/>
    </xf>
    <xf numFmtId="165" fontId="15" fillId="12" borderId="30" xfId="0" applyNumberFormat="1" applyFont="1" applyFill="1" applyBorder="1" applyAlignment="1">
      <alignment horizontal="center"/>
    </xf>
    <xf numFmtId="165" fontId="4" fillId="13" borderId="111" xfId="0" applyNumberFormat="1" applyFont="1" applyFill="1" applyBorder="1" applyAlignment="1">
      <alignment horizontal="center"/>
    </xf>
    <xf numFmtId="165" fontId="4" fillId="13" borderId="5" xfId="0" applyNumberFormat="1" applyFont="1" applyFill="1" applyBorder="1" applyAlignment="1">
      <alignment horizontal="center"/>
    </xf>
    <xf numFmtId="165" fontId="4" fillId="46" borderId="81" xfId="0" applyNumberFormat="1" applyFont="1" applyFill="1" applyBorder="1" applyAlignment="1">
      <alignment horizontal="center"/>
    </xf>
    <xf numFmtId="165" fontId="4" fillId="46" borderId="5" xfId="0" applyNumberFormat="1" applyFont="1" applyFill="1" applyBorder="1" applyAlignment="1">
      <alignment horizontal="center"/>
    </xf>
    <xf numFmtId="165" fontId="4" fillId="46" borderId="41" xfId="0" applyNumberFormat="1" applyFont="1" applyFill="1" applyBorder="1" applyAlignment="1">
      <alignment horizontal="center"/>
    </xf>
    <xf numFmtId="165" fontId="4" fillId="46" borderId="40" xfId="0" applyNumberFormat="1" applyFont="1" applyFill="1" applyBorder="1" applyAlignment="1">
      <alignment horizontal="center"/>
    </xf>
    <xf numFmtId="165" fontId="4" fillId="46" borderId="110" xfId="0" applyNumberFormat="1" applyFont="1" applyFill="1" applyBorder="1" applyAlignment="1">
      <alignment horizontal="center"/>
    </xf>
    <xf numFmtId="165" fontId="4" fillId="46" borderId="111" xfId="0" applyNumberFormat="1" applyFont="1" applyFill="1" applyBorder="1" applyAlignment="1">
      <alignment horizontal="center"/>
    </xf>
    <xf numFmtId="165" fontId="4" fillId="46" borderId="43" xfId="0" applyNumberFormat="1" applyFont="1" applyFill="1" applyBorder="1" applyAlignment="1">
      <alignment horizontal="center"/>
    </xf>
    <xf numFmtId="165" fontId="4" fillId="46" borderId="42" xfId="0" applyNumberFormat="1" applyFont="1" applyFill="1" applyBorder="1" applyAlignment="1">
      <alignment horizontal="center"/>
    </xf>
    <xf numFmtId="165" fontId="4" fillId="46" borderId="112" xfId="0" applyNumberFormat="1" applyFont="1" applyFill="1" applyBorder="1" applyAlignment="1">
      <alignment horizontal="center"/>
    </xf>
    <xf numFmtId="0" fontId="4" fillId="12" borderId="60" xfId="0" applyFont="1" applyFill="1" applyBorder="1" applyAlignment="1">
      <alignment horizontal="center"/>
    </xf>
    <xf numFmtId="0" fontId="4" fillId="12" borderId="0" xfId="0" applyFont="1" applyFill="1" applyAlignment="1">
      <alignment horizontal="center"/>
    </xf>
    <xf numFmtId="165" fontId="4" fillId="13" borderId="81" xfId="0" applyNumberFormat="1" applyFont="1" applyFill="1" applyBorder="1" applyAlignment="1">
      <alignment horizontal="center"/>
    </xf>
    <xf numFmtId="165" fontId="4" fillId="13" borderId="41" xfId="0" applyNumberFormat="1" applyFont="1" applyFill="1" applyBorder="1" applyAlignment="1">
      <alignment horizontal="center"/>
    </xf>
    <xf numFmtId="165" fontId="4" fillId="13" borderId="110" xfId="0" applyNumberFormat="1" applyFont="1" applyFill="1" applyBorder="1" applyAlignment="1">
      <alignment horizontal="center"/>
    </xf>
    <xf numFmtId="165" fontId="4" fillId="13" borderId="40" xfId="0" applyNumberFormat="1" applyFont="1" applyFill="1" applyBorder="1" applyAlignment="1">
      <alignment horizontal="center"/>
    </xf>
    <xf numFmtId="0" fontId="4" fillId="9" borderId="90" xfId="0" applyFont="1" applyFill="1" applyBorder="1" applyAlignment="1">
      <alignment horizontal="center"/>
    </xf>
    <xf numFmtId="0" fontId="4" fillId="9" borderId="91" xfId="0" applyFont="1" applyFill="1" applyBorder="1" applyAlignment="1">
      <alignment horizontal="center"/>
    </xf>
    <xf numFmtId="0" fontId="8" fillId="9" borderId="101" xfId="0" applyFont="1" applyFill="1" applyBorder="1" applyAlignment="1">
      <alignment horizontal="center"/>
    </xf>
    <xf numFmtId="17" fontId="3" fillId="12" borderId="24" xfId="0" applyNumberFormat="1" applyFont="1" applyFill="1" applyBorder="1" applyAlignment="1">
      <alignment horizontal="center"/>
    </xf>
    <xf numFmtId="17" fontId="3" fillId="12" borderId="25" xfId="0" applyNumberFormat="1" applyFont="1" applyFill="1" applyBorder="1" applyAlignment="1">
      <alignment horizontal="center"/>
    </xf>
    <xf numFmtId="17" fontId="3" fillId="12" borderId="30" xfId="0" applyNumberFormat="1" applyFont="1" applyFill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165" fontId="3" fillId="12" borderId="80" xfId="0" applyNumberFormat="1" applyFont="1" applyFill="1" applyBorder="1" applyAlignment="1">
      <alignment horizontal="center" vertical="center"/>
    </xf>
    <xf numFmtId="165" fontId="3" fillId="12" borderId="28" xfId="0" applyNumberFormat="1" applyFont="1" applyFill="1" applyBorder="1" applyAlignment="1">
      <alignment horizontal="center" vertical="center"/>
    </xf>
    <xf numFmtId="165" fontId="3" fillId="12" borderId="102" xfId="0" applyNumberFormat="1" applyFont="1" applyFill="1" applyBorder="1" applyAlignment="1">
      <alignment horizontal="center" vertical="center"/>
    </xf>
    <xf numFmtId="0" fontId="3" fillId="13" borderId="105" xfId="0" applyFont="1" applyFill="1" applyBorder="1" applyAlignment="1">
      <alignment horizontal="center"/>
    </xf>
    <xf numFmtId="0" fontId="3" fillId="13" borderId="28" xfId="0" applyFont="1" applyFill="1" applyBorder="1" applyAlignment="1">
      <alignment horizontal="center"/>
    </xf>
    <xf numFmtId="0" fontId="3" fillId="13" borderId="106" xfId="0" applyFont="1" applyFill="1" applyBorder="1" applyAlignment="1">
      <alignment horizontal="center"/>
    </xf>
    <xf numFmtId="0" fontId="3" fillId="13" borderId="107" xfId="0" applyFont="1" applyFill="1" applyBorder="1" applyAlignment="1">
      <alignment horizontal="center"/>
    </xf>
    <xf numFmtId="0" fontId="3" fillId="13" borderId="108" xfId="0" applyFont="1" applyFill="1" applyBorder="1" applyAlignment="1">
      <alignment horizontal="center"/>
    </xf>
    <xf numFmtId="0" fontId="3" fillId="13" borderId="109" xfId="0" applyFont="1" applyFill="1" applyBorder="1" applyAlignment="1">
      <alignment horizontal="center"/>
    </xf>
    <xf numFmtId="0" fontId="3" fillId="46" borderId="80" xfId="0" applyFont="1" applyFill="1" applyBorder="1" applyAlignment="1">
      <alignment horizontal="center"/>
    </xf>
    <xf numFmtId="0" fontId="3" fillId="46" borderId="106" xfId="0" applyFont="1" applyFill="1" applyBorder="1" applyAlignment="1">
      <alignment horizontal="center"/>
    </xf>
    <xf numFmtId="0" fontId="3" fillId="46" borderId="107" xfId="0" applyFont="1" applyFill="1" applyBorder="1" applyAlignment="1">
      <alignment horizontal="center"/>
    </xf>
    <xf numFmtId="0" fontId="3" fillId="46" borderId="29" xfId="0" applyFont="1" applyFill="1" applyBorder="1" applyAlignment="1">
      <alignment horizontal="center"/>
    </xf>
    <xf numFmtId="0" fontId="3" fillId="46" borderId="50" xfId="0" applyFont="1" applyFill="1" applyBorder="1" applyAlignment="1">
      <alignment horizontal="center"/>
    </xf>
    <xf numFmtId="0" fontId="3" fillId="46" borderId="51" xfId="0" applyFont="1" applyFill="1" applyBorder="1" applyAlignment="1">
      <alignment horizontal="center"/>
    </xf>
    <xf numFmtId="165" fontId="11" fillId="0" borderId="19" xfId="2" applyNumberFormat="1" applyBorder="1" applyAlignment="1">
      <alignment horizontal="center"/>
    </xf>
    <xf numFmtId="165" fontId="11" fillId="0" borderId="2" xfId="2" applyNumberFormat="1" applyBorder="1" applyAlignment="1">
      <alignment horizontal="center"/>
    </xf>
    <xf numFmtId="165" fontId="11" fillId="0" borderId="3" xfId="2" applyNumberFormat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 vertical="center" wrapText="1"/>
    </xf>
    <xf numFmtId="165" fontId="12" fillId="2" borderId="3" xfId="2" applyNumberFormat="1" applyFont="1" applyFill="1" applyBorder="1" applyAlignment="1">
      <alignment horizontal="center" vertical="center" wrapText="1"/>
    </xf>
    <xf numFmtId="165" fontId="11" fillId="0" borderId="44" xfId="2" applyNumberFormat="1" applyBorder="1" applyAlignment="1">
      <alignment horizontal="center"/>
    </xf>
    <xf numFmtId="17" fontId="12" fillId="2" borderId="50" xfId="2" applyNumberFormat="1" applyFont="1" applyFill="1" applyBorder="1" applyAlignment="1">
      <alignment horizontal="center" vertical="center" wrapText="1"/>
    </xf>
    <xf numFmtId="0" fontId="12" fillId="2" borderId="29" xfId="2" applyFont="1" applyFill="1" applyBorder="1" applyAlignment="1">
      <alignment horizontal="center" vertical="center" wrapText="1"/>
    </xf>
    <xf numFmtId="0" fontId="12" fillId="34" borderId="11" xfId="2" applyFont="1" applyFill="1" applyBorder="1" applyAlignment="1">
      <alignment horizontal="center"/>
    </xf>
    <xf numFmtId="0" fontId="12" fillId="34" borderId="12" xfId="2" applyFont="1" applyFill="1" applyBorder="1" applyAlignment="1">
      <alignment horizontal="center"/>
    </xf>
    <xf numFmtId="0" fontId="12" fillId="2" borderId="50" xfId="2" applyFont="1" applyFill="1" applyBorder="1" applyAlignment="1">
      <alignment horizontal="center" vertical="center" wrapText="1"/>
    </xf>
    <xf numFmtId="165" fontId="12" fillId="34" borderId="2" xfId="2" applyNumberFormat="1" applyFont="1" applyFill="1" applyBorder="1" applyAlignment="1">
      <alignment horizontal="center"/>
    </xf>
    <xf numFmtId="165" fontId="12" fillId="34" borderId="3" xfId="2" applyNumberFormat="1" applyFont="1" applyFill="1" applyBorder="1" applyAlignment="1">
      <alignment horizontal="center"/>
    </xf>
    <xf numFmtId="0" fontId="12" fillId="40" borderId="80" xfId="2" applyFont="1" applyFill="1" applyBorder="1" applyAlignment="1">
      <alignment horizontal="center" vertical="center" wrapText="1"/>
    </xf>
    <xf numFmtId="0" fontId="12" fillId="40" borderId="29" xfId="2" applyFont="1" applyFill="1" applyBorder="1" applyAlignment="1">
      <alignment horizontal="center" vertical="center" wrapText="1"/>
    </xf>
    <xf numFmtId="0" fontId="12" fillId="40" borderId="50" xfId="2" applyFont="1" applyFill="1" applyBorder="1" applyAlignment="1">
      <alignment horizontal="center" vertical="center" wrapText="1"/>
    </xf>
    <xf numFmtId="0" fontId="12" fillId="40" borderId="28" xfId="2" applyFont="1" applyFill="1" applyBorder="1" applyAlignment="1">
      <alignment horizontal="center" vertical="center" wrapText="1"/>
    </xf>
    <xf numFmtId="8" fontId="12" fillId="40" borderId="93" xfId="2" applyNumberFormat="1" applyFont="1" applyFill="1" applyBorder="1" applyAlignment="1">
      <alignment horizontal="center" vertical="center" wrapText="1"/>
    </xf>
    <xf numFmtId="8" fontId="12" fillId="40" borderId="44" xfId="2" applyNumberFormat="1" applyFont="1" applyFill="1" applyBorder="1" applyAlignment="1">
      <alignment horizontal="center" vertical="center" wrapText="1"/>
    </xf>
    <xf numFmtId="8" fontId="12" fillId="40" borderId="3" xfId="2" applyNumberFormat="1" applyFont="1" applyFill="1" applyBorder="1" applyAlignment="1">
      <alignment horizontal="center" vertical="center" wrapText="1"/>
    </xf>
    <xf numFmtId="8" fontId="12" fillId="40" borderId="92" xfId="2" applyNumberFormat="1" applyFont="1" applyFill="1" applyBorder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2" xr:uid="{AB7D9E94-1906-0E42-A72A-EDD5B8605D12}"/>
    <cellStyle name="Percentagem 2" xfId="3" xr:uid="{13EE4AAB-2565-6A4E-80B2-E71034B3EB0D}"/>
  </cellStyles>
  <dxfs count="0"/>
  <tableStyles count="0" defaultTableStyle="TableStyleMedium2" defaultPivotStyle="PivotStyleLight16"/>
  <colors>
    <mruColors>
      <color rgb="FF08FC04"/>
      <color rgb="FFF2DEC7"/>
      <color rgb="FFEEDBAB"/>
      <color rgb="FFEAEAEA"/>
      <color rgb="FFD8E2F4"/>
      <color rgb="FFD1C1AB"/>
      <color rgb="FFE2F0D9"/>
      <color rgb="FF6F6C15"/>
      <color rgb="FF283F1A"/>
      <color rgb="FF1F30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r&#231;amento%20Mens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MINHAS POUPANÇAS"/>
      <sheetName val="O MEU PASSIVO"/>
      <sheetName val="O MEU ACTIVO"/>
      <sheetName val="ORÇAMENTO SETEMBRO"/>
    </sheetNames>
    <sheetDataSet>
      <sheetData sheetId="0"/>
      <sheetData sheetId="1"/>
      <sheetData sheetId="2"/>
      <sheetData sheetId="3">
        <row r="42">
          <cell r="AF42">
            <v>0</v>
          </cell>
        </row>
        <row r="49">
          <cell r="AF49">
            <v>0</v>
          </cell>
        </row>
        <row r="55">
          <cell r="AF55">
            <v>0</v>
          </cell>
        </row>
        <row r="62">
          <cell r="AF62">
            <v>0</v>
          </cell>
        </row>
        <row r="66">
          <cell r="AF66">
            <v>0</v>
          </cell>
        </row>
        <row r="73">
          <cell r="AF73">
            <v>0</v>
          </cell>
        </row>
        <row r="80">
          <cell r="AF8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FB00-5A3F-F248-8524-9769F8F3BFA2}">
  <sheetPr>
    <tabColor rgb="FFD1C1AB"/>
  </sheetPr>
  <dimension ref="A2:T28"/>
  <sheetViews>
    <sheetView topLeftCell="C3" zoomScale="85" zoomScaleNormal="91" workbookViewId="0">
      <selection activeCell="G16" sqref="G16"/>
    </sheetView>
  </sheetViews>
  <sheetFormatPr defaultColWidth="11" defaultRowHeight="15.95"/>
  <cols>
    <col min="1" max="1" width="5" customWidth="1"/>
    <col min="2" max="2" width="10.5" customWidth="1"/>
    <col min="3" max="3" width="13" customWidth="1"/>
    <col min="4" max="4" width="7.125" customWidth="1"/>
    <col min="5" max="5" width="17" customWidth="1"/>
    <col min="6" max="6" width="11.5" style="34" customWidth="1"/>
    <col min="7" max="7" width="6.125" customWidth="1"/>
    <col min="8" max="8" width="10.5" customWidth="1"/>
    <col min="9" max="9" width="9.5" style="6" customWidth="1"/>
    <col min="10" max="10" width="7.625" style="6" customWidth="1"/>
    <col min="11" max="11" width="8.5" style="6" customWidth="1"/>
    <col min="12" max="12" width="5.625" customWidth="1"/>
    <col min="13" max="13" width="9" style="6" customWidth="1"/>
    <col min="14" max="14" width="6.125" customWidth="1"/>
    <col min="15" max="15" width="21.5" customWidth="1"/>
    <col min="16" max="16" width="8.125" customWidth="1"/>
    <col min="17" max="17" width="7.125" customWidth="1"/>
    <col min="18" max="18" width="19.875" customWidth="1"/>
    <col min="19" max="19" width="9.875" customWidth="1"/>
  </cols>
  <sheetData>
    <row r="2" spans="1:19" ht="21.95" thickBot="1">
      <c r="A2" s="43"/>
      <c r="B2" s="512" t="s">
        <v>0</v>
      </c>
      <c r="C2" s="513"/>
      <c r="D2" s="5"/>
      <c r="E2" s="5"/>
      <c r="F2" s="32"/>
      <c r="H2" s="25"/>
      <c r="I2" s="25"/>
      <c r="J2" s="25"/>
      <c r="K2" s="25"/>
    </row>
    <row r="3" spans="1:19" ht="17.100000000000001" thickBot="1">
      <c r="A3" s="41"/>
      <c r="B3" s="46" t="s">
        <v>1</v>
      </c>
      <c r="C3" s="47">
        <f>SUM(G26:K26)</f>
        <v>690.83</v>
      </c>
      <c r="D3" s="454"/>
      <c r="E3" s="520" t="s">
        <v>2</v>
      </c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2"/>
    </row>
    <row r="4" spans="1:19">
      <c r="A4" s="41"/>
      <c r="B4" s="46" t="s">
        <v>3</v>
      </c>
      <c r="C4" s="48">
        <f>SUM(L26:S26)</f>
        <v>789.99</v>
      </c>
      <c r="D4" s="6"/>
      <c r="E4" s="531" t="s">
        <v>4</v>
      </c>
      <c r="F4" s="532"/>
      <c r="G4" s="523" t="s">
        <v>1</v>
      </c>
      <c r="H4" s="524"/>
      <c r="I4" s="524"/>
      <c r="J4" s="524"/>
      <c r="K4" s="525"/>
      <c r="L4" s="524" t="s">
        <v>3</v>
      </c>
      <c r="M4" s="524"/>
      <c r="N4" s="524"/>
      <c r="O4" s="524"/>
      <c r="P4" s="524"/>
      <c r="Q4" s="524"/>
      <c r="R4" s="524"/>
      <c r="S4" s="525"/>
    </row>
    <row r="5" spans="1:19">
      <c r="A5" s="41"/>
      <c r="B5" s="4" t="s">
        <v>5</v>
      </c>
      <c r="C5" s="2">
        <f>SUM(C3,C4)</f>
        <v>1480.8200000000002</v>
      </c>
      <c r="D5" s="6"/>
      <c r="E5" s="13" t="s">
        <v>6</v>
      </c>
      <c r="F5" s="39" t="s">
        <v>7</v>
      </c>
      <c r="G5" s="530" t="s">
        <v>8</v>
      </c>
      <c r="H5" s="528"/>
      <c r="I5" s="528"/>
      <c r="J5" s="526" t="s">
        <v>9</v>
      </c>
      <c r="K5" s="527"/>
      <c r="L5" s="528" t="s">
        <v>10</v>
      </c>
      <c r="M5" s="529"/>
      <c r="N5" s="526" t="s">
        <v>11</v>
      </c>
      <c r="O5" s="528"/>
      <c r="P5" s="529"/>
      <c r="Q5" s="526" t="s">
        <v>8</v>
      </c>
      <c r="R5" s="528"/>
      <c r="S5" s="527"/>
    </row>
    <row r="6" spans="1:19">
      <c r="A6" s="41"/>
      <c r="B6" s="49" t="s">
        <v>12</v>
      </c>
      <c r="C6" s="48">
        <f>F26</f>
        <v>1480.8400000000001</v>
      </c>
      <c r="D6" s="6"/>
      <c r="E6" s="14" t="s">
        <v>13</v>
      </c>
      <c r="F6" s="33">
        <v>509.38</v>
      </c>
      <c r="G6" s="27" t="s">
        <v>14</v>
      </c>
      <c r="H6" s="12" t="s">
        <v>15</v>
      </c>
      <c r="I6" s="10" t="s">
        <v>7</v>
      </c>
      <c r="J6" s="30" t="s">
        <v>14</v>
      </c>
      <c r="K6" s="15" t="s">
        <v>7</v>
      </c>
      <c r="L6" s="11" t="s">
        <v>14</v>
      </c>
      <c r="M6" s="21" t="s">
        <v>7</v>
      </c>
      <c r="N6" s="22" t="s">
        <v>14</v>
      </c>
      <c r="O6" s="12" t="s">
        <v>15</v>
      </c>
      <c r="P6" s="21" t="s">
        <v>7</v>
      </c>
      <c r="Q6" s="22" t="s">
        <v>14</v>
      </c>
      <c r="R6" s="12" t="s">
        <v>15</v>
      </c>
      <c r="S6" s="15" t="s">
        <v>7</v>
      </c>
    </row>
    <row r="7" spans="1:19">
      <c r="A7" s="41"/>
      <c r="B7" s="1" t="s">
        <v>16</v>
      </c>
      <c r="C7" s="3">
        <f>C6-C5</f>
        <v>1.999999999998181E-2</v>
      </c>
      <c r="D7" s="6"/>
      <c r="E7" s="14" t="s">
        <v>17</v>
      </c>
      <c r="F7" s="33">
        <v>87.2</v>
      </c>
      <c r="G7" s="20" t="s">
        <v>18</v>
      </c>
      <c r="H7" t="s">
        <v>19</v>
      </c>
      <c r="I7" s="6">
        <v>16.8</v>
      </c>
      <c r="J7" s="23" t="s">
        <v>20</v>
      </c>
      <c r="K7" s="28">
        <v>36.729999999999997</v>
      </c>
      <c r="L7" t="s">
        <v>21</v>
      </c>
      <c r="M7" s="24">
        <v>16</v>
      </c>
      <c r="N7" s="23" t="s">
        <v>20</v>
      </c>
      <c r="O7" t="s">
        <v>22</v>
      </c>
      <c r="P7" s="24">
        <v>19.97</v>
      </c>
      <c r="Q7" s="23" t="s">
        <v>20</v>
      </c>
      <c r="R7" t="s">
        <v>23</v>
      </c>
      <c r="S7" s="16">
        <v>14</v>
      </c>
    </row>
    <row r="8" spans="1:19">
      <c r="A8" s="44"/>
      <c r="B8" s="45"/>
      <c r="D8" s="6"/>
      <c r="E8" s="14" t="s">
        <v>24</v>
      </c>
      <c r="F8" s="33">
        <v>320</v>
      </c>
      <c r="G8" s="20" t="s">
        <v>21</v>
      </c>
      <c r="H8" t="s">
        <v>17</v>
      </c>
      <c r="I8" s="6">
        <v>200</v>
      </c>
      <c r="J8" s="23" t="s">
        <v>18</v>
      </c>
      <c r="K8" s="16">
        <v>3.72</v>
      </c>
      <c r="L8" t="s">
        <v>21</v>
      </c>
      <c r="M8" s="24">
        <v>33</v>
      </c>
      <c r="N8" s="23" t="s">
        <v>20</v>
      </c>
      <c r="O8" t="s">
        <v>25</v>
      </c>
      <c r="P8" s="24">
        <v>36.14</v>
      </c>
      <c r="Q8" s="23" t="s">
        <v>26</v>
      </c>
      <c r="R8" t="s">
        <v>27</v>
      </c>
      <c r="S8" s="16">
        <v>16.399999999999999</v>
      </c>
    </row>
    <row r="9" spans="1:19">
      <c r="A9" s="44"/>
      <c r="D9" s="6"/>
      <c r="E9" s="14" t="s">
        <v>28</v>
      </c>
      <c r="F9" s="33">
        <v>70</v>
      </c>
      <c r="G9" s="20" t="s">
        <v>18</v>
      </c>
      <c r="H9" t="s">
        <v>29</v>
      </c>
      <c r="I9" s="6">
        <v>30.9</v>
      </c>
      <c r="J9" s="23" t="s">
        <v>30</v>
      </c>
      <c r="K9" s="16">
        <v>35.24</v>
      </c>
      <c r="L9" t="s">
        <v>21</v>
      </c>
      <c r="M9" s="24">
        <v>29.4</v>
      </c>
      <c r="N9" s="23" t="s">
        <v>31</v>
      </c>
      <c r="O9" t="s">
        <v>32</v>
      </c>
      <c r="P9" s="24">
        <v>10.56</v>
      </c>
      <c r="Q9" s="23" t="s">
        <v>26</v>
      </c>
      <c r="R9" t="s">
        <v>33</v>
      </c>
      <c r="S9" s="16">
        <v>8.57</v>
      </c>
    </row>
    <row r="10" spans="1:19">
      <c r="A10" s="44"/>
      <c r="D10" s="454"/>
      <c r="E10" s="31" t="s">
        <v>34</v>
      </c>
      <c r="F10" s="34">
        <v>234.63</v>
      </c>
      <c r="G10" s="20" t="s">
        <v>35</v>
      </c>
      <c r="H10" t="s">
        <v>36</v>
      </c>
      <c r="I10" s="6">
        <v>175</v>
      </c>
      <c r="J10" s="29" t="s">
        <v>37</v>
      </c>
      <c r="K10" s="16">
        <v>14.7</v>
      </c>
      <c r="L10" t="s">
        <v>21</v>
      </c>
      <c r="M10" s="24">
        <v>20</v>
      </c>
      <c r="N10" s="23" t="s">
        <v>38</v>
      </c>
      <c r="O10" t="s">
        <v>39</v>
      </c>
      <c r="P10" s="24">
        <v>26.13</v>
      </c>
      <c r="Q10" s="23" t="s">
        <v>35</v>
      </c>
      <c r="R10" t="s">
        <v>40</v>
      </c>
      <c r="S10" s="16">
        <v>6.99</v>
      </c>
    </row>
    <row r="11" spans="1:19">
      <c r="A11" s="44"/>
      <c r="D11" s="7"/>
      <c r="E11" s="14" t="s">
        <v>24</v>
      </c>
      <c r="F11" s="35">
        <v>230</v>
      </c>
      <c r="G11" s="20" t="s">
        <v>41</v>
      </c>
      <c r="H11" t="s">
        <v>42</v>
      </c>
      <c r="I11" s="6">
        <v>75</v>
      </c>
      <c r="J11" s="29" t="s">
        <v>43</v>
      </c>
      <c r="K11" s="16">
        <v>7.27</v>
      </c>
      <c r="L11" t="s">
        <v>21</v>
      </c>
      <c r="M11" s="24">
        <v>10</v>
      </c>
      <c r="N11" s="23"/>
      <c r="P11" s="24"/>
      <c r="Q11" s="23" t="s">
        <v>44</v>
      </c>
      <c r="R11" t="s">
        <v>45</v>
      </c>
      <c r="S11" s="16">
        <v>25</v>
      </c>
    </row>
    <row r="12" spans="1:19">
      <c r="A12" s="42"/>
      <c r="D12" s="7"/>
      <c r="E12" s="14" t="s">
        <v>24</v>
      </c>
      <c r="F12" s="35">
        <v>29.63</v>
      </c>
      <c r="G12" s="20"/>
      <c r="J12" s="29" t="s">
        <v>46</v>
      </c>
      <c r="K12" s="16">
        <v>49.26</v>
      </c>
      <c r="L12" t="s">
        <v>41</v>
      </c>
      <c r="M12" s="24">
        <v>4.9000000000000004</v>
      </c>
      <c r="N12" s="23"/>
      <c r="P12" s="24"/>
      <c r="Q12" s="23" t="s">
        <v>47</v>
      </c>
      <c r="R12" t="s">
        <v>48</v>
      </c>
      <c r="S12" s="16">
        <v>18</v>
      </c>
    </row>
    <row r="13" spans="1:19">
      <c r="A13" s="42"/>
      <c r="D13" s="7"/>
      <c r="E13" s="18"/>
      <c r="F13" s="35"/>
      <c r="G13" s="20"/>
      <c r="J13" s="29" t="s">
        <v>49</v>
      </c>
      <c r="K13" s="16">
        <v>3.29</v>
      </c>
      <c r="L13" t="s">
        <v>41</v>
      </c>
      <c r="M13" s="24">
        <v>50</v>
      </c>
      <c r="N13" s="23"/>
      <c r="P13" s="24"/>
      <c r="Q13" s="23" t="s">
        <v>50</v>
      </c>
      <c r="R13" t="s">
        <v>51</v>
      </c>
      <c r="S13" s="16">
        <v>9.84</v>
      </c>
    </row>
    <row r="14" spans="1:19">
      <c r="A14" s="42"/>
      <c r="D14" s="7"/>
      <c r="E14" s="18"/>
      <c r="F14" s="35"/>
      <c r="G14" s="20"/>
      <c r="J14" s="29" t="s">
        <v>52</v>
      </c>
      <c r="K14" s="16">
        <v>18.920000000000002</v>
      </c>
      <c r="L14" t="s">
        <v>41</v>
      </c>
      <c r="M14" s="24">
        <v>20</v>
      </c>
      <c r="N14" s="23"/>
      <c r="P14" s="24"/>
      <c r="Q14" s="23" t="s">
        <v>49</v>
      </c>
      <c r="R14" t="s">
        <v>53</v>
      </c>
      <c r="S14" s="16">
        <v>19.8</v>
      </c>
    </row>
    <row r="15" spans="1:19" ht="15.95" customHeight="1">
      <c r="D15" s="6"/>
      <c r="E15" s="14"/>
      <c r="F15" s="33"/>
      <c r="G15" s="20"/>
      <c r="J15" s="29" t="s">
        <v>54</v>
      </c>
      <c r="K15" s="16">
        <v>4</v>
      </c>
      <c r="L15" t="s">
        <v>30</v>
      </c>
      <c r="M15" s="24">
        <v>20</v>
      </c>
      <c r="N15" s="23"/>
      <c r="P15" s="24"/>
      <c r="Q15" s="23" t="s">
        <v>46</v>
      </c>
      <c r="S15" s="16">
        <v>37</v>
      </c>
    </row>
    <row r="16" spans="1:19">
      <c r="D16" s="454"/>
      <c r="E16" s="17"/>
      <c r="F16" s="36"/>
      <c r="G16" s="20"/>
      <c r="J16" s="29" t="s">
        <v>54</v>
      </c>
      <c r="K16" s="16">
        <v>20</v>
      </c>
      <c r="L16" t="s">
        <v>55</v>
      </c>
      <c r="M16" s="24">
        <v>40</v>
      </c>
      <c r="N16" s="23"/>
      <c r="P16" s="24"/>
      <c r="Q16" s="23" t="s">
        <v>56</v>
      </c>
      <c r="R16" t="s">
        <v>57</v>
      </c>
      <c r="S16" s="16">
        <v>190</v>
      </c>
    </row>
    <row r="17" spans="4:20">
      <c r="D17" s="7"/>
      <c r="E17" s="18"/>
      <c r="F17" s="35"/>
      <c r="G17" s="20"/>
      <c r="J17" s="29"/>
      <c r="K17" s="16"/>
      <c r="L17" t="s">
        <v>58</v>
      </c>
      <c r="M17" s="24">
        <v>20</v>
      </c>
      <c r="N17" s="23"/>
      <c r="P17" s="24"/>
      <c r="Q17" s="23" t="s">
        <v>38</v>
      </c>
      <c r="R17" t="s">
        <v>53</v>
      </c>
      <c r="S17" s="16">
        <v>3.8</v>
      </c>
    </row>
    <row r="18" spans="4:20">
      <c r="D18" s="7"/>
      <c r="E18" s="18"/>
      <c r="F18" s="35"/>
      <c r="G18" s="20"/>
      <c r="J18" s="29"/>
      <c r="K18" s="16"/>
      <c r="L18" t="s">
        <v>59</v>
      </c>
      <c r="M18" s="24">
        <v>20</v>
      </c>
      <c r="N18" s="23"/>
      <c r="P18" s="24"/>
      <c r="Q18" s="23" t="s">
        <v>60</v>
      </c>
      <c r="R18" t="s">
        <v>61</v>
      </c>
      <c r="S18" s="40">
        <v>29.63</v>
      </c>
    </row>
    <row r="19" spans="4:20">
      <c r="D19" s="7"/>
      <c r="E19" s="18"/>
      <c r="F19" s="35"/>
      <c r="G19" s="20"/>
      <c r="J19" s="29"/>
      <c r="K19" s="16"/>
      <c r="L19" t="s">
        <v>31</v>
      </c>
      <c r="M19" s="24">
        <v>20</v>
      </c>
      <c r="N19" s="23"/>
      <c r="P19" s="24"/>
      <c r="Q19" s="23"/>
      <c r="S19" s="16"/>
    </row>
    <row r="20" spans="4:20">
      <c r="D20" s="8"/>
      <c r="E20" s="19"/>
      <c r="F20" s="37"/>
      <c r="G20" s="20"/>
      <c r="J20" s="29"/>
      <c r="K20" s="16"/>
      <c r="M20" s="24">
        <v>14.86</v>
      </c>
      <c r="N20" s="23"/>
      <c r="P20" s="24"/>
      <c r="Q20" s="23"/>
      <c r="S20" s="16"/>
    </row>
    <row r="21" spans="4:20">
      <c r="E21" s="20"/>
      <c r="G21" s="20"/>
      <c r="J21" s="29"/>
      <c r="K21" s="16"/>
      <c r="M21" s="24"/>
      <c r="N21" s="23"/>
      <c r="P21" s="24"/>
      <c r="Q21" s="23"/>
      <c r="S21" s="16"/>
    </row>
    <row r="22" spans="4:20">
      <c r="E22" s="20"/>
      <c r="G22" s="20"/>
      <c r="J22" s="29"/>
      <c r="K22" s="16"/>
      <c r="M22" s="24"/>
      <c r="N22" s="23"/>
      <c r="P22" s="24"/>
      <c r="Q22" s="23"/>
      <c r="S22" s="16"/>
    </row>
    <row r="23" spans="4:20">
      <c r="E23" s="20"/>
      <c r="G23" s="20"/>
      <c r="J23" s="29"/>
      <c r="K23" s="16"/>
      <c r="M23" s="24"/>
      <c r="N23" s="23"/>
      <c r="P23" s="24"/>
      <c r="Q23" s="23"/>
      <c r="S23" s="16"/>
    </row>
    <row r="24" spans="4:20">
      <c r="E24" s="20"/>
      <c r="G24" s="20"/>
      <c r="J24" s="29"/>
      <c r="K24" s="16"/>
      <c r="M24" s="24"/>
      <c r="N24" s="23"/>
      <c r="P24" s="24"/>
      <c r="Q24" s="23"/>
      <c r="S24" s="16"/>
    </row>
    <row r="25" spans="4:20">
      <c r="E25" s="20"/>
      <c r="G25" s="20"/>
      <c r="J25" s="29"/>
      <c r="K25" s="16"/>
      <c r="M25" s="24"/>
      <c r="N25" s="23"/>
      <c r="P25" s="24"/>
      <c r="Q25" s="23"/>
      <c r="S25" s="16"/>
    </row>
    <row r="26" spans="4:20" ht="17.100000000000001" thickBot="1">
      <c r="E26" s="26">
        <f>F26-G27</f>
        <v>2.0000000000209184E-2</v>
      </c>
      <c r="F26" s="38">
        <f>SUM(F6:F25)</f>
        <v>1480.8400000000001</v>
      </c>
      <c r="G26" s="533">
        <f>SUM(I7:I25)</f>
        <v>497.70000000000005</v>
      </c>
      <c r="H26" s="534"/>
      <c r="I26" s="534"/>
      <c r="J26" s="518">
        <f>SUM(K7:K25)</f>
        <v>193.13</v>
      </c>
      <c r="K26" s="519"/>
      <c r="L26" s="534">
        <f>SUM(M7:M25)</f>
        <v>318.16000000000003</v>
      </c>
      <c r="M26" s="535"/>
      <c r="N26" s="518">
        <f>SUM(P7:P25)</f>
        <v>92.8</v>
      </c>
      <c r="O26" s="534"/>
      <c r="P26" s="535"/>
      <c r="Q26" s="518">
        <f>SUM(S7:S25)</f>
        <v>379.03000000000003</v>
      </c>
      <c r="R26" s="534"/>
      <c r="S26" s="519"/>
    </row>
    <row r="27" spans="4:20" ht="17.100000000000001" thickBot="1">
      <c r="G27" s="514">
        <f>SUM(G26:S26)</f>
        <v>1480.82</v>
      </c>
      <c r="H27" s="515"/>
      <c r="I27" s="515"/>
      <c r="J27" s="515"/>
      <c r="K27" s="515"/>
      <c r="L27" s="516"/>
      <c r="M27" s="516"/>
      <c r="N27" s="516"/>
      <c r="O27" s="516"/>
      <c r="P27" s="516"/>
      <c r="Q27" s="516"/>
      <c r="R27" s="516"/>
      <c r="S27" s="517"/>
    </row>
    <row r="28" spans="4:20" ht="17.100000000000001" thickBot="1">
      <c r="F28" s="50" t="s">
        <v>62</v>
      </c>
      <c r="G28" s="505">
        <v>350</v>
      </c>
      <c r="H28" s="506"/>
      <c r="I28" s="506"/>
      <c r="J28" s="505">
        <v>120</v>
      </c>
      <c r="K28" s="507"/>
      <c r="L28" s="508">
        <v>150</v>
      </c>
      <c r="M28" s="508"/>
      <c r="N28" s="509"/>
      <c r="O28" s="510"/>
      <c r="P28" s="511"/>
      <c r="Q28" s="510"/>
      <c r="R28" s="510"/>
      <c r="S28" s="511"/>
      <c r="T28" s="51">
        <f>SUM(G28:S28)</f>
        <v>620</v>
      </c>
    </row>
  </sheetData>
  <mergeCells count="21">
    <mergeCell ref="B2:C2"/>
    <mergeCell ref="G27:S27"/>
    <mergeCell ref="J26:K26"/>
    <mergeCell ref="E3:S3"/>
    <mergeCell ref="G4:K4"/>
    <mergeCell ref="L4:S4"/>
    <mergeCell ref="J5:K5"/>
    <mergeCell ref="L5:M5"/>
    <mergeCell ref="G5:I5"/>
    <mergeCell ref="E4:F4"/>
    <mergeCell ref="G26:I26"/>
    <mergeCell ref="L26:M26"/>
    <mergeCell ref="N26:P26"/>
    <mergeCell ref="Q26:S26"/>
    <mergeCell ref="N5:P5"/>
    <mergeCell ref="Q5:S5"/>
    <mergeCell ref="G28:I28"/>
    <mergeCell ref="J28:K28"/>
    <mergeCell ref="L28:M28"/>
    <mergeCell ref="N28:P28"/>
    <mergeCell ref="Q28:S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3AE0-36A4-1D4E-8118-EE36BDEADC19}">
  <sheetPr>
    <tabColor rgb="FFD1C1AB"/>
  </sheetPr>
  <dimension ref="B2:U29"/>
  <sheetViews>
    <sheetView topLeftCell="C1" zoomScale="75" zoomScaleNormal="75" workbookViewId="0">
      <selection activeCell="K10" sqref="K10"/>
    </sheetView>
  </sheetViews>
  <sheetFormatPr defaultColWidth="11" defaultRowHeight="15.95"/>
  <cols>
    <col min="4" max="4" width="4.125" customWidth="1"/>
    <col min="5" max="5" width="14.625" customWidth="1"/>
    <col min="11" max="11" width="9.875" style="6" customWidth="1"/>
    <col min="18" max="18" width="14.5" customWidth="1"/>
    <col min="20" max="20" width="9.375" customWidth="1"/>
    <col min="21" max="21" width="7.125" customWidth="1"/>
    <col min="30" max="30" width="6" customWidth="1"/>
    <col min="31" max="31" width="5.5" customWidth="1"/>
    <col min="32" max="32" width="6.5" customWidth="1"/>
    <col min="33" max="33" width="5" customWidth="1"/>
    <col min="34" max="34" width="19.875" customWidth="1"/>
    <col min="35" max="35" width="27" customWidth="1"/>
    <col min="36" max="36" width="10.875" customWidth="1"/>
  </cols>
  <sheetData>
    <row r="2" spans="2:19" ht="17.100000000000001" thickBot="1"/>
    <row r="3" spans="2:19" ht="21.95" thickBot="1">
      <c r="B3" s="540" t="s">
        <v>0</v>
      </c>
      <c r="C3" s="540"/>
      <c r="D3" s="5"/>
      <c r="E3" s="520" t="s">
        <v>63</v>
      </c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2"/>
    </row>
    <row r="4" spans="2:19" ht="15.95" customHeight="1">
      <c r="B4" s="49" t="s">
        <v>1</v>
      </c>
      <c r="C4" s="47">
        <v>480.03</v>
      </c>
      <c r="D4" s="454"/>
      <c r="E4" s="531" t="s">
        <v>4</v>
      </c>
      <c r="F4" s="532"/>
      <c r="G4" s="523" t="s">
        <v>1</v>
      </c>
      <c r="H4" s="524"/>
      <c r="I4" s="524"/>
      <c r="J4" s="524"/>
      <c r="K4" s="525"/>
      <c r="L4" s="524" t="s">
        <v>3</v>
      </c>
      <c r="M4" s="524"/>
      <c r="N4" s="524"/>
      <c r="O4" s="524"/>
      <c r="P4" s="524"/>
      <c r="Q4" s="524"/>
      <c r="R4" s="524"/>
      <c r="S4" s="525"/>
    </row>
    <row r="5" spans="2:19">
      <c r="B5" s="49" t="s">
        <v>3</v>
      </c>
      <c r="C5" s="48">
        <f>SUM(L26:S26)</f>
        <v>360.8</v>
      </c>
      <c r="D5" s="6"/>
      <c r="E5" s="13" t="s">
        <v>6</v>
      </c>
      <c r="F5" s="39" t="s">
        <v>7</v>
      </c>
      <c r="G5" s="530" t="s">
        <v>8</v>
      </c>
      <c r="H5" s="528"/>
      <c r="I5" s="528"/>
      <c r="J5" s="526" t="s">
        <v>9</v>
      </c>
      <c r="K5" s="527"/>
      <c r="L5" s="528" t="s">
        <v>10</v>
      </c>
      <c r="M5" s="529"/>
      <c r="N5" s="526" t="s">
        <v>11</v>
      </c>
      <c r="O5" s="528"/>
      <c r="P5" s="529"/>
      <c r="Q5" s="526" t="s">
        <v>8</v>
      </c>
      <c r="R5" s="528"/>
      <c r="S5" s="527"/>
    </row>
    <row r="6" spans="2:19">
      <c r="B6" s="9" t="s">
        <v>5</v>
      </c>
      <c r="C6" s="2">
        <f>SUM(C4,C5)</f>
        <v>840.82999999999993</v>
      </c>
      <c r="D6" s="6"/>
      <c r="E6" s="14" t="s">
        <v>13</v>
      </c>
      <c r="F6" s="33">
        <v>509.38</v>
      </c>
      <c r="G6" s="27" t="s">
        <v>14</v>
      </c>
      <c r="H6" s="12" t="s">
        <v>15</v>
      </c>
      <c r="I6" s="10" t="s">
        <v>7</v>
      </c>
      <c r="J6" s="30" t="s">
        <v>14</v>
      </c>
      <c r="K6" s="15" t="s">
        <v>7</v>
      </c>
      <c r="L6" s="11" t="s">
        <v>14</v>
      </c>
      <c r="M6" s="21" t="s">
        <v>7</v>
      </c>
      <c r="N6" s="22" t="s">
        <v>14</v>
      </c>
      <c r="O6" s="12" t="s">
        <v>15</v>
      </c>
      <c r="P6" s="21" t="s">
        <v>7</v>
      </c>
      <c r="Q6" s="22" t="s">
        <v>14</v>
      </c>
      <c r="R6" s="12" t="s">
        <v>15</v>
      </c>
      <c r="S6" s="15" t="s">
        <v>7</v>
      </c>
    </row>
    <row r="7" spans="2:19">
      <c r="B7" s="49" t="s">
        <v>12</v>
      </c>
      <c r="C7" s="48">
        <f>F26</f>
        <v>848.71</v>
      </c>
      <c r="D7" s="6"/>
      <c r="E7" s="14" t="s">
        <v>17</v>
      </c>
      <c r="F7" s="33">
        <v>87.2</v>
      </c>
      <c r="G7" s="20" t="s">
        <v>64</v>
      </c>
      <c r="H7" t="s">
        <v>17</v>
      </c>
      <c r="I7" s="6">
        <v>50.55</v>
      </c>
      <c r="J7" s="23" t="s">
        <v>65</v>
      </c>
      <c r="K7" s="16">
        <v>17</v>
      </c>
      <c r="L7" t="s">
        <v>64</v>
      </c>
      <c r="M7" s="24">
        <v>40</v>
      </c>
      <c r="N7" s="23" t="s">
        <v>66</v>
      </c>
      <c r="O7" t="s">
        <v>67</v>
      </c>
      <c r="P7" s="24">
        <v>5.22</v>
      </c>
      <c r="Q7" s="23" t="s">
        <v>68</v>
      </c>
      <c r="R7" t="s">
        <v>69</v>
      </c>
      <c r="S7" s="16">
        <v>12.67</v>
      </c>
    </row>
    <row r="8" spans="2:19">
      <c r="B8" s="9" t="s">
        <v>16</v>
      </c>
      <c r="C8" s="3">
        <f>C7-C6</f>
        <v>7.8800000000001091</v>
      </c>
      <c r="D8" s="6"/>
      <c r="E8" s="14" t="s">
        <v>70</v>
      </c>
      <c r="F8" s="33">
        <v>252.13</v>
      </c>
      <c r="G8" s="20" t="s">
        <v>65</v>
      </c>
      <c r="H8" t="s">
        <v>71</v>
      </c>
      <c r="I8" s="6">
        <v>33</v>
      </c>
      <c r="J8" s="23" t="s">
        <v>72</v>
      </c>
      <c r="K8" s="16">
        <v>4.1399999999999997</v>
      </c>
      <c r="L8" t="s">
        <v>65</v>
      </c>
      <c r="M8" s="24">
        <v>23</v>
      </c>
      <c r="N8" s="23" t="s">
        <v>73</v>
      </c>
      <c r="O8" t="s">
        <v>74</v>
      </c>
      <c r="P8" s="24">
        <v>5.64</v>
      </c>
      <c r="Q8" s="23" t="s">
        <v>75</v>
      </c>
      <c r="R8" t="s">
        <v>76</v>
      </c>
      <c r="S8" s="16">
        <v>91.5</v>
      </c>
    </row>
    <row r="9" spans="2:19">
      <c r="B9" s="45"/>
      <c r="D9" s="6"/>
      <c r="E9" s="14"/>
      <c r="F9" s="33"/>
      <c r="G9" s="20" t="s">
        <v>77</v>
      </c>
      <c r="H9" t="s">
        <v>36</v>
      </c>
      <c r="I9" s="6">
        <v>175</v>
      </c>
      <c r="J9" s="23" t="s">
        <v>78</v>
      </c>
      <c r="K9" s="16">
        <v>31.47</v>
      </c>
      <c r="L9" t="s">
        <v>79</v>
      </c>
      <c r="M9" s="24">
        <v>37.5</v>
      </c>
      <c r="N9" s="23"/>
      <c r="P9" s="24"/>
      <c r="Q9" s="23" t="s">
        <v>80</v>
      </c>
      <c r="R9" t="s">
        <v>81</v>
      </c>
      <c r="S9" s="16">
        <v>57.96</v>
      </c>
    </row>
    <row r="10" spans="2:19">
      <c r="D10" s="6"/>
      <c r="E10" s="31"/>
      <c r="F10" s="34"/>
      <c r="G10" s="20" t="s">
        <v>80</v>
      </c>
      <c r="H10" t="s">
        <v>82</v>
      </c>
      <c r="I10" s="6">
        <v>16.8</v>
      </c>
      <c r="J10" s="29" t="s">
        <v>83</v>
      </c>
      <c r="K10" s="16">
        <v>8.26</v>
      </c>
      <c r="L10" t="s">
        <v>84</v>
      </c>
      <c r="M10" s="24">
        <v>20</v>
      </c>
      <c r="N10" s="23"/>
      <c r="P10" s="24"/>
      <c r="Q10" s="23" t="s">
        <v>85</v>
      </c>
      <c r="R10" t="s">
        <v>86</v>
      </c>
      <c r="S10" s="16">
        <v>8.82</v>
      </c>
    </row>
    <row r="11" spans="2:19">
      <c r="D11" s="454"/>
      <c r="E11" s="14"/>
      <c r="F11" s="35"/>
      <c r="G11" s="20"/>
      <c r="H11" t="s">
        <v>42</v>
      </c>
      <c r="I11" s="6">
        <v>45</v>
      </c>
      <c r="J11" s="29" t="s">
        <v>87</v>
      </c>
      <c r="K11" s="16">
        <v>15.5</v>
      </c>
      <c r="M11" s="24"/>
      <c r="N11" s="23"/>
      <c r="P11" s="24"/>
      <c r="Q11" s="23" t="s">
        <v>88</v>
      </c>
      <c r="R11" t="s">
        <v>89</v>
      </c>
      <c r="S11" s="16">
        <v>8.49</v>
      </c>
    </row>
    <row r="12" spans="2:19">
      <c r="D12" s="7"/>
      <c r="E12" s="14"/>
      <c r="F12" s="35"/>
      <c r="G12" s="20" t="s">
        <v>90</v>
      </c>
      <c r="H12" t="s">
        <v>42</v>
      </c>
      <c r="I12" s="6">
        <v>36</v>
      </c>
      <c r="J12" s="29" t="s">
        <v>91</v>
      </c>
      <c r="K12" s="16">
        <v>13.03</v>
      </c>
      <c r="M12" s="24"/>
      <c r="N12" s="23"/>
      <c r="P12" s="24"/>
      <c r="Q12" s="23" t="s">
        <v>79</v>
      </c>
      <c r="R12" t="s">
        <v>92</v>
      </c>
      <c r="S12" s="16">
        <v>50</v>
      </c>
    </row>
    <row r="13" spans="2:19">
      <c r="D13" s="7"/>
      <c r="E13" s="18"/>
      <c r="F13" s="35"/>
      <c r="G13" s="20"/>
      <c r="I13" s="6"/>
      <c r="J13" s="29" t="s">
        <v>93</v>
      </c>
      <c r="K13" s="16">
        <v>10.61</v>
      </c>
      <c r="M13" s="24"/>
      <c r="N13" s="23"/>
      <c r="P13" s="24"/>
      <c r="Q13" s="23"/>
      <c r="S13" s="16"/>
    </row>
    <row r="14" spans="2:19">
      <c r="D14" s="7"/>
      <c r="E14" s="18"/>
      <c r="F14" s="35"/>
      <c r="G14" s="20"/>
      <c r="I14" s="6"/>
      <c r="J14" s="29" t="s">
        <v>94</v>
      </c>
      <c r="K14" s="16">
        <v>4.1100000000000003</v>
      </c>
      <c r="M14" s="24"/>
      <c r="N14" s="23"/>
      <c r="P14" s="24"/>
      <c r="Q14" s="23"/>
      <c r="S14" s="16"/>
    </row>
    <row r="15" spans="2:19">
      <c r="D15" s="7"/>
      <c r="E15" s="14"/>
      <c r="F15" s="33"/>
      <c r="G15" s="20"/>
      <c r="I15" s="6"/>
      <c r="J15" s="29" t="s">
        <v>83</v>
      </c>
      <c r="K15" s="16">
        <v>7.18</v>
      </c>
      <c r="M15" s="24"/>
      <c r="N15" s="23"/>
      <c r="P15" s="24"/>
      <c r="Q15" s="23"/>
      <c r="S15" s="16"/>
    </row>
    <row r="16" spans="2:19">
      <c r="D16" s="6"/>
      <c r="E16" s="17"/>
      <c r="F16" s="36"/>
      <c r="G16" s="20"/>
      <c r="I16" s="6"/>
      <c r="J16" s="29" t="s">
        <v>73</v>
      </c>
      <c r="K16" s="16">
        <v>3.19</v>
      </c>
      <c r="M16" s="24"/>
      <c r="N16" s="23"/>
      <c r="P16" s="24"/>
      <c r="Q16" s="23"/>
      <c r="S16" s="16"/>
    </row>
    <row r="17" spans="4:21">
      <c r="D17" s="454"/>
      <c r="E17" s="18"/>
      <c r="F17" s="35"/>
      <c r="G17" s="20"/>
      <c r="I17" s="6"/>
      <c r="J17" s="29" t="s">
        <v>90</v>
      </c>
      <c r="K17" s="16">
        <v>9.19</v>
      </c>
      <c r="M17" s="24"/>
      <c r="N17" s="23"/>
      <c r="P17" s="24"/>
      <c r="Q17" s="23"/>
      <c r="S17" s="16"/>
    </row>
    <row r="18" spans="4:21">
      <c r="D18" s="7"/>
      <c r="E18" s="18"/>
      <c r="F18" s="35"/>
      <c r="G18" s="20"/>
      <c r="I18" s="6"/>
      <c r="J18" s="29"/>
      <c r="K18" s="16"/>
      <c r="M18" s="24"/>
      <c r="N18" s="23"/>
      <c r="P18" s="24"/>
      <c r="Q18" s="23"/>
      <c r="S18" s="40"/>
    </row>
    <row r="19" spans="4:21">
      <c r="D19" s="7"/>
      <c r="E19" s="18"/>
      <c r="F19" s="35"/>
      <c r="G19" s="20"/>
      <c r="I19" s="6"/>
      <c r="J19" s="29"/>
      <c r="K19" s="16"/>
      <c r="M19" s="24"/>
      <c r="N19" s="23"/>
      <c r="P19" s="24"/>
      <c r="Q19" s="23"/>
      <c r="S19" s="16"/>
    </row>
    <row r="20" spans="4:21" ht="17.100000000000001" customHeight="1">
      <c r="D20" s="7"/>
      <c r="E20" s="19"/>
      <c r="F20" s="37"/>
      <c r="G20" s="20"/>
      <c r="I20" s="6"/>
      <c r="J20" s="29"/>
      <c r="K20" s="16"/>
      <c r="M20" s="24"/>
      <c r="N20" s="23"/>
      <c r="P20" s="24"/>
      <c r="Q20" s="23"/>
      <c r="S20" s="16"/>
    </row>
    <row r="21" spans="4:21" ht="17.100000000000001" customHeight="1">
      <c r="D21" s="8"/>
      <c r="E21" s="20"/>
      <c r="F21" s="34"/>
      <c r="G21" s="20"/>
      <c r="I21" s="6"/>
      <c r="J21" s="29"/>
      <c r="K21" s="16"/>
      <c r="M21" s="24"/>
      <c r="N21" s="23"/>
      <c r="P21" s="24"/>
      <c r="Q21" s="23"/>
      <c r="S21" s="16"/>
    </row>
    <row r="22" spans="4:21" ht="17.100000000000001" customHeight="1">
      <c r="E22" s="20"/>
      <c r="F22" s="34"/>
      <c r="G22" s="20"/>
      <c r="I22" s="6"/>
      <c r="J22" s="29"/>
      <c r="K22" s="16"/>
      <c r="M22" s="24"/>
      <c r="N22" s="23"/>
      <c r="P22" s="24"/>
      <c r="Q22" s="23"/>
      <c r="S22" s="16"/>
    </row>
    <row r="23" spans="4:21">
      <c r="E23" s="20"/>
      <c r="F23" s="34"/>
      <c r="G23" s="20"/>
      <c r="I23" s="6"/>
      <c r="J23" s="29"/>
      <c r="K23" s="16"/>
      <c r="M23" s="24"/>
      <c r="N23" s="23"/>
      <c r="P23" s="24"/>
      <c r="Q23" s="23"/>
      <c r="S23" s="16"/>
    </row>
    <row r="24" spans="4:21">
      <c r="E24" s="20"/>
      <c r="F24" s="34"/>
      <c r="G24" s="20"/>
      <c r="I24" s="6"/>
      <c r="J24" s="29"/>
      <c r="K24" s="16"/>
      <c r="M24" s="24"/>
      <c r="N24" s="23"/>
      <c r="P24" s="24"/>
      <c r="Q24" s="23"/>
      <c r="S24" s="16"/>
    </row>
    <row r="25" spans="4:21">
      <c r="E25" s="20"/>
      <c r="F25" s="34"/>
      <c r="G25" s="20"/>
      <c r="I25" s="6"/>
      <c r="J25" s="29"/>
      <c r="K25" s="16"/>
      <c r="M25" s="24"/>
      <c r="N25" s="23"/>
      <c r="P25" s="24"/>
      <c r="Q25" s="23"/>
      <c r="S25" s="16"/>
    </row>
    <row r="26" spans="4:21" ht="17.100000000000001" thickBot="1">
      <c r="E26" s="26">
        <f>F26-G27</f>
        <v>7.8800000000001091</v>
      </c>
      <c r="F26" s="38">
        <f>SUM(F6:F25)</f>
        <v>848.71</v>
      </c>
      <c r="G26" s="533">
        <f>SUM(I7:I25)</f>
        <v>356.35</v>
      </c>
      <c r="H26" s="534"/>
      <c r="I26" s="534"/>
      <c r="J26" s="518">
        <f>SUM(K7:K25)</f>
        <v>123.68</v>
      </c>
      <c r="K26" s="519"/>
      <c r="L26" s="534">
        <f>SUM(M7:M25)</f>
        <v>120.5</v>
      </c>
      <c r="M26" s="535"/>
      <c r="N26" s="518">
        <f>SUM(P7:P25)</f>
        <v>10.86</v>
      </c>
      <c r="O26" s="534"/>
      <c r="P26" s="535"/>
      <c r="Q26" s="518">
        <f>SUM(S7:S25)</f>
        <v>229.44</v>
      </c>
      <c r="R26" s="534"/>
      <c r="S26" s="519"/>
    </row>
    <row r="27" spans="4:21" ht="17.100000000000001" thickBot="1">
      <c r="F27" s="34"/>
      <c r="G27" s="536">
        <f>SUM(G26:S26)</f>
        <v>840.82999999999993</v>
      </c>
      <c r="H27" s="537"/>
      <c r="I27" s="537"/>
      <c r="J27" s="537"/>
      <c r="K27" s="537"/>
      <c r="L27" s="538"/>
      <c r="M27" s="538"/>
      <c r="N27" s="538"/>
      <c r="O27" s="538"/>
      <c r="P27" s="538"/>
      <c r="Q27" s="538"/>
      <c r="R27" s="538"/>
      <c r="S27" s="539"/>
    </row>
    <row r="28" spans="4:21" ht="17.100000000000001" thickBot="1">
      <c r="F28" s="50" t="s">
        <v>95</v>
      </c>
      <c r="G28" s="505"/>
      <c r="H28" s="506"/>
      <c r="I28" s="506"/>
      <c r="J28" s="505"/>
      <c r="K28" s="507"/>
      <c r="L28" s="508"/>
      <c r="M28" s="508"/>
      <c r="N28" s="509"/>
      <c r="O28" s="510"/>
      <c r="P28" s="511"/>
      <c r="Q28" s="510"/>
      <c r="R28" s="510"/>
      <c r="S28" s="511"/>
    </row>
    <row r="29" spans="4:21" ht="17.100000000000001" thickBot="1">
      <c r="T29" s="52">
        <f>SUM(G28:S28)</f>
        <v>0</v>
      </c>
      <c r="U29" s="14"/>
    </row>
  </sheetData>
  <mergeCells count="21">
    <mergeCell ref="B3:C3"/>
    <mergeCell ref="E3:S3"/>
    <mergeCell ref="E4:F4"/>
    <mergeCell ref="G4:K4"/>
    <mergeCell ref="L4:S4"/>
    <mergeCell ref="G27:S27"/>
    <mergeCell ref="G5:I5"/>
    <mergeCell ref="J5:K5"/>
    <mergeCell ref="L5:M5"/>
    <mergeCell ref="N5:P5"/>
    <mergeCell ref="Q5:S5"/>
    <mergeCell ref="G26:I26"/>
    <mergeCell ref="J26:K26"/>
    <mergeCell ref="L26:M26"/>
    <mergeCell ref="N26:P26"/>
    <mergeCell ref="Q26:S26"/>
    <mergeCell ref="G28:I28"/>
    <mergeCell ref="J28:K28"/>
    <mergeCell ref="L28:M28"/>
    <mergeCell ref="N28:P28"/>
    <mergeCell ref="Q28:S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69B62-A952-204E-A362-BFF367B63486}">
  <sheetPr>
    <tabColor rgb="FFD1C1AB"/>
  </sheetPr>
  <dimension ref="B1:U39"/>
  <sheetViews>
    <sheetView topLeftCell="D2" zoomScale="74" workbookViewId="0">
      <selection activeCell="J17" sqref="J17"/>
    </sheetView>
  </sheetViews>
  <sheetFormatPr defaultColWidth="11" defaultRowHeight="15.95"/>
  <sheetData>
    <row r="1" spans="2:19" ht="17.100000000000001" thickBot="1"/>
    <row r="2" spans="2:19" ht="21.95" thickBot="1">
      <c r="B2" s="540" t="s">
        <v>0</v>
      </c>
      <c r="C2" s="540"/>
      <c r="D2" s="5"/>
      <c r="E2" s="520" t="s">
        <v>96</v>
      </c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2"/>
    </row>
    <row r="3" spans="2:19">
      <c r="B3" s="49" t="s">
        <v>1</v>
      </c>
      <c r="C3" s="47">
        <v>396.49</v>
      </c>
      <c r="D3" s="454"/>
      <c r="E3" s="531" t="s">
        <v>4</v>
      </c>
      <c r="F3" s="532"/>
      <c r="G3" s="523" t="s">
        <v>1</v>
      </c>
      <c r="H3" s="524"/>
      <c r="I3" s="524"/>
      <c r="J3" s="524"/>
      <c r="K3" s="525"/>
      <c r="L3" s="524" t="s">
        <v>3</v>
      </c>
      <c r="M3" s="524"/>
      <c r="N3" s="524"/>
      <c r="O3" s="524"/>
      <c r="P3" s="524"/>
      <c r="Q3" s="524"/>
      <c r="R3" s="524"/>
      <c r="S3" s="525"/>
    </row>
    <row r="4" spans="2:19">
      <c r="B4" s="49" t="s">
        <v>3</v>
      </c>
      <c r="C4" s="48">
        <f>SUM(L25:S25)</f>
        <v>284.10000000000002</v>
      </c>
      <c r="D4" s="6"/>
      <c r="E4" s="13" t="s">
        <v>6</v>
      </c>
      <c r="F4" s="39" t="s">
        <v>7</v>
      </c>
      <c r="G4" s="530" t="s">
        <v>8</v>
      </c>
      <c r="H4" s="528"/>
      <c r="I4" s="528"/>
      <c r="J4" s="526" t="s">
        <v>9</v>
      </c>
      <c r="K4" s="527"/>
      <c r="L4" s="528" t="s">
        <v>10</v>
      </c>
      <c r="M4" s="529"/>
      <c r="N4" s="526" t="s">
        <v>11</v>
      </c>
      <c r="O4" s="528"/>
      <c r="P4" s="529"/>
      <c r="Q4" s="526" t="s">
        <v>8</v>
      </c>
      <c r="R4" s="528"/>
      <c r="S4" s="527"/>
    </row>
    <row r="5" spans="2:19">
      <c r="B5" s="9" t="s">
        <v>5</v>
      </c>
      <c r="C5" s="2">
        <f>SUM(C3,C4)</f>
        <v>680.59</v>
      </c>
      <c r="D5" s="6"/>
      <c r="E5" s="14" t="s">
        <v>13</v>
      </c>
      <c r="F5" s="33">
        <v>509.68</v>
      </c>
      <c r="G5" s="27" t="s">
        <v>14</v>
      </c>
      <c r="H5" s="12" t="s">
        <v>15</v>
      </c>
      <c r="I5" s="10" t="s">
        <v>7</v>
      </c>
      <c r="J5" s="30" t="s">
        <v>14</v>
      </c>
      <c r="K5" s="15" t="s">
        <v>7</v>
      </c>
      <c r="L5" s="11" t="s">
        <v>14</v>
      </c>
      <c r="M5" s="21" t="s">
        <v>7</v>
      </c>
      <c r="N5" s="22" t="s">
        <v>14</v>
      </c>
      <c r="O5" s="12" t="s">
        <v>15</v>
      </c>
      <c r="P5" s="21" t="s">
        <v>7</v>
      </c>
      <c r="Q5" s="22" t="s">
        <v>14</v>
      </c>
      <c r="R5" s="12" t="s">
        <v>15</v>
      </c>
      <c r="S5" s="15" t="s">
        <v>7</v>
      </c>
    </row>
    <row r="6" spans="2:19">
      <c r="B6" s="49" t="s">
        <v>12</v>
      </c>
      <c r="C6" s="48">
        <f>F25</f>
        <v>824.88</v>
      </c>
      <c r="D6" s="6"/>
      <c r="E6" s="14" t="s">
        <v>17</v>
      </c>
      <c r="F6" s="33">
        <v>87.2</v>
      </c>
      <c r="G6" s="20" t="s">
        <v>97</v>
      </c>
      <c r="H6" t="s">
        <v>17</v>
      </c>
      <c r="I6" s="6">
        <v>50.55</v>
      </c>
      <c r="J6" s="23" t="s">
        <v>97</v>
      </c>
      <c r="K6" s="16">
        <v>7.33</v>
      </c>
      <c r="L6" t="s">
        <v>98</v>
      </c>
      <c r="M6" s="24">
        <v>4.9000000000000004</v>
      </c>
      <c r="N6" s="23" t="s">
        <v>99</v>
      </c>
      <c r="O6" s="6" t="s">
        <v>100</v>
      </c>
      <c r="P6" s="24">
        <v>26.95</v>
      </c>
      <c r="Q6" s="23" t="s">
        <v>101</v>
      </c>
      <c r="R6" t="s">
        <v>102</v>
      </c>
      <c r="S6" s="16">
        <v>66.38</v>
      </c>
    </row>
    <row r="7" spans="2:19">
      <c r="B7" s="9" t="s">
        <v>16</v>
      </c>
      <c r="C7" s="3">
        <f>C6-C5</f>
        <v>144.28999999999996</v>
      </c>
      <c r="D7" s="6"/>
      <c r="E7" s="14" t="s">
        <v>70</v>
      </c>
      <c r="F7" s="33">
        <v>228</v>
      </c>
      <c r="G7" s="20" t="s">
        <v>97</v>
      </c>
      <c r="H7" t="s">
        <v>36</v>
      </c>
      <c r="I7" s="6">
        <v>175</v>
      </c>
      <c r="J7" s="23" t="s">
        <v>101</v>
      </c>
      <c r="K7" s="16">
        <v>19.88</v>
      </c>
      <c r="L7" t="s">
        <v>83</v>
      </c>
      <c r="M7" s="24">
        <v>40</v>
      </c>
      <c r="N7" s="23" t="s">
        <v>103</v>
      </c>
      <c r="O7" t="s">
        <v>104</v>
      </c>
      <c r="P7" s="24">
        <v>9</v>
      </c>
      <c r="Q7" s="23" t="s">
        <v>98</v>
      </c>
      <c r="R7" t="s">
        <v>105</v>
      </c>
      <c r="S7" s="16">
        <v>5</v>
      </c>
    </row>
    <row r="8" spans="2:19">
      <c r="B8" s="45"/>
      <c r="D8" s="6"/>
      <c r="E8" s="14"/>
      <c r="F8" s="33"/>
      <c r="G8" s="20" t="s">
        <v>106</v>
      </c>
      <c r="H8" t="s">
        <v>82</v>
      </c>
      <c r="I8" s="6">
        <v>16.8</v>
      </c>
      <c r="J8" s="23" t="s">
        <v>103</v>
      </c>
      <c r="K8" s="16">
        <v>19.02</v>
      </c>
      <c r="L8" t="s">
        <v>99</v>
      </c>
      <c r="M8" s="24">
        <v>4.8</v>
      </c>
      <c r="N8" s="23" t="s">
        <v>107</v>
      </c>
      <c r="O8" t="s">
        <v>108</v>
      </c>
      <c r="P8" s="24">
        <v>15.71</v>
      </c>
      <c r="Q8" s="23" t="s">
        <v>109</v>
      </c>
      <c r="R8" t="s">
        <v>110</v>
      </c>
      <c r="S8" s="16">
        <v>15</v>
      </c>
    </row>
    <row r="9" spans="2:19">
      <c r="D9" s="6"/>
      <c r="E9" s="31"/>
      <c r="F9" s="34"/>
      <c r="G9" s="20" t="s">
        <v>111</v>
      </c>
      <c r="H9" t="s">
        <v>112</v>
      </c>
      <c r="I9" s="6">
        <v>39</v>
      </c>
      <c r="J9" s="29" t="s">
        <v>111</v>
      </c>
      <c r="K9" s="16">
        <v>20</v>
      </c>
      <c r="L9" s="6" t="s">
        <v>109</v>
      </c>
      <c r="M9" s="24">
        <v>20</v>
      </c>
      <c r="N9" s="23"/>
      <c r="P9" s="24"/>
      <c r="Q9" s="23" t="s">
        <v>113</v>
      </c>
      <c r="R9" t="s">
        <v>110</v>
      </c>
      <c r="S9" s="16">
        <v>10</v>
      </c>
    </row>
    <row r="10" spans="2:19">
      <c r="D10" s="454"/>
      <c r="E10" s="14"/>
      <c r="F10" s="35"/>
      <c r="G10" s="20" t="s">
        <v>106</v>
      </c>
      <c r="H10" t="s">
        <v>42</v>
      </c>
      <c r="I10" s="6">
        <v>30</v>
      </c>
      <c r="J10" s="29" t="s">
        <v>99</v>
      </c>
      <c r="K10" s="16">
        <v>3.7</v>
      </c>
      <c r="M10" s="24"/>
      <c r="N10" s="23"/>
      <c r="P10" s="24"/>
      <c r="Q10" s="23" t="s">
        <v>114</v>
      </c>
      <c r="R10" t="s">
        <v>115</v>
      </c>
      <c r="S10" s="16">
        <v>20</v>
      </c>
    </row>
    <row r="11" spans="2:19">
      <c r="D11" s="7"/>
      <c r="E11" s="14"/>
      <c r="F11" s="35"/>
      <c r="G11" s="20"/>
      <c r="I11" s="6"/>
      <c r="J11" s="29" t="s">
        <v>109</v>
      </c>
      <c r="K11" s="16">
        <v>11.85</v>
      </c>
      <c r="M11" s="24"/>
      <c r="N11" s="23"/>
      <c r="P11" s="24"/>
      <c r="Q11" s="23" t="s">
        <v>116</v>
      </c>
      <c r="R11" t="s">
        <v>117</v>
      </c>
      <c r="S11" s="16">
        <v>1.4</v>
      </c>
    </row>
    <row r="12" spans="2:19">
      <c r="D12" s="7"/>
      <c r="E12" s="18"/>
      <c r="F12" s="35"/>
      <c r="G12" s="20"/>
      <c r="I12" s="6"/>
      <c r="J12" s="29" t="s">
        <v>99</v>
      </c>
      <c r="K12" s="16">
        <v>39.130000000000003</v>
      </c>
      <c r="M12" s="24"/>
      <c r="N12" s="23"/>
      <c r="P12" s="24"/>
      <c r="Q12" s="23"/>
      <c r="S12" s="16">
        <v>4.8</v>
      </c>
    </row>
    <row r="13" spans="2:19">
      <c r="D13" s="7"/>
      <c r="E13" s="18"/>
      <c r="F13" s="35"/>
      <c r="G13" s="20"/>
      <c r="I13" s="6"/>
      <c r="J13" s="29" t="s">
        <v>118</v>
      </c>
      <c r="K13" s="16">
        <v>3.7</v>
      </c>
      <c r="M13" s="24"/>
      <c r="N13" s="23"/>
      <c r="P13" s="24"/>
      <c r="Q13" s="23"/>
      <c r="R13" s="433" t="s">
        <v>119</v>
      </c>
      <c r="S13" s="434">
        <v>33.659999999999997</v>
      </c>
    </row>
    <row r="14" spans="2:19">
      <c r="D14" s="7"/>
      <c r="E14" s="14"/>
      <c r="F14" s="33"/>
      <c r="G14" s="20"/>
      <c r="I14" s="6"/>
      <c r="J14" s="29" t="s">
        <v>120</v>
      </c>
      <c r="K14" s="16">
        <v>7.8</v>
      </c>
      <c r="M14" s="24"/>
      <c r="N14" s="23"/>
      <c r="P14" s="24"/>
      <c r="Q14" s="23"/>
      <c r="R14" s="433" t="s">
        <v>121</v>
      </c>
      <c r="S14" s="434">
        <v>6.5</v>
      </c>
    </row>
    <row r="15" spans="2:19">
      <c r="D15" s="6"/>
      <c r="E15" s="17"/>
      <c r="F15" s="36"/>
      <c r="G15" s="20"/>
      <c r="I15" s="6"/>
      <c r="J15" s="29" t="s">
        <v>107</v>
      </c>
      <c r="K15" s="16">
        <v>6.43</v>
      </c>
      <c r="M15" s="24"/>
      <c r="N15" s="23"/>
      <c r="P15" s="24"/>
      <c r="Q15" s="23"/>
      <c r="S15" s="16"/>
    </row>
    <row r="16" spans="2:19">
      <c r="D16" s="454"/>
      <c r="E16" s="18"/>
      <c r="F16" s="35"/>
      <c r="G16" s="20"/>
      <c r="I16" s="6"/>
      <c r="J16" s="29" t="s">
        <v>107</v>
      </c>
      <c r="K16" s="16">
        <v>6.7</v>
      </c>
      <c r="M16" s="24"/>
      <c r="N16" s="23"/>
      <c r="P16" s="24"/>
      <c r="Q16" s="23"/>
      <c r="S16" s="16"/>
    </row>
    <row r="17" spans="4:21">
      <c r="D17" s="7"/>
      <c r="E17" s="18"/>
      <c r="F17" s="35"/>
      <c r="G17" s="20"/>
      <c r="I17" s="6"/>
      <c r="J17" s="29" t="s">
        <v>122</v>
      </c>
      <c r="K17" s="16">
        <v>15.71</v>
      </c>
      <c r="M17" s="24"/>
      <c r="N17" s="23"/>
      <c r="P17" s="24"/>
      <c r="Q17" s="23"/>
      <c r="S17" s="40"/>
    </row>
    <row r="18" spans="4:21">
      <c r="D18" s="7"/>
      <c r="E18" s="18"/>
      <c r="F18" s="35"/>
      <c r="G18" s="20"/>
      <c r="I18" s="6"/>
      <c r="J18" s="29" t="s">
        <v>113</v>
      </c>
      <c r="K18" s="16">
        <v>3.6</v>
      </c>
      <c r="M18" s="24"/>
      <c r="N18" s="23"/>
      <c r="P18" s="24"/>
      <c r="Q18" s="23"/>
      <c r="S18" s="16"/>
    </row>
    <row r="19" spans="4:21">
      <c r="D19" s="7"/>
      <c r="E19" s="19"/>
      <c r="F19" s="37"/>
      <c r="G19" s="20"/>
      <c r="I19" s="6"/>
      <c r="J19" s="29" t="s">
        <v>114</v>
      </c>
      <c r="K19" s="16">
        <v>10.11</v>
      </c>
      <c r="M19" s="24"/>
      <c r="N19" s="23"/>
      <c r="P19" s="24"/>
      <c r="Q19" s="23"/>
      <c r="S19" s="16"/>
    </row>
    <row r="20" spans="4:21">
      <c r="D20" s="8"/>
      <c r="E20" s="20"/>
      <c r="F20" s="34"/>
      <c r="G20" s="20"/>
      <c r="I20" s="6"/>
      <c r="J20" s="29" t="s">
        <v>123</v>
      </c>
      <c r="K20" s="16">
        <v>10.49</v>
      </c>
      <c r="M20" s="24"/>
      <c r="N20" s="23"/>
      <c r="P20" s="24"/>
      <c r="Q20" s="23"/>
      <c r="S20" s="16"/>
    </row>
    <row r="21" spans="4:21">
      <c r="E21" s="20"/>
      <c r="F21" s="34"/>
      <c r="G21" s="20"/>
      <c r="I21" s="6"/>
      <c r="J21" s="29"/>
      <c r="K21" s="16">
        <v>37.58</v>
      </c>
      <c r="M21" s="24"/>
      <c r="N21" s="23"/>
      <c r="P21" s="24"/>
      <c r="Q21" s="23"/>
      <c r="S21" s="16"/>
    </row>
    <row r="22" spans="4:21">
      <c r="E22" s="20"/>
      <c r="F22" s="34"/>
      <c r="G22" s="20"/>
      <c r="I22" s="6"/>
      <c r="J22" s="29"/>
      <c r="K22" s="16"/>
      <c r="M22" s="24"/>
      <c r="N22" s="23"/>
      <c r="P22" s="24"/>
      <c r="Q22" s="23"/>
      <c r="S22" s="16"/>
    </row>
    <row r="23" spans="4:21">
      <c r="E23" s="20"/>
      <c r="F23" s="34"/>
      <c r="G23" s="20"/>
      <c r="I23" s="6"/>
      <c r="J23" s="29"/>
      <c r="K23" s="16"/>
      <c r="M23" s="24"/>
      <c r="N23" s="23"/>
      <c r="P23" s="24"/>
      <c r="Q23" s="23"/>
      <c r="S23" s="16"/>
    </row>
    <row r="24" spans="4:21">
      <c r="E24" s="20"/>
      <c r="F24" s="34"/>
      <c r="G24" s="20"/>
      <c r="I24" s="6"/>
      <c r="J24" s="29"/>
      <c r="K24" s="16"/>
      <c r="M24" s="24"/>
      <c r="N24" s="23"/>
      <c r="P24" s="24"/>
      <c r="Q24" s="23"/>
      <c r="S24" s="16"/>
    </row>
    <row r="25" spans="4:21" ht="17.100000000000001" thickBot="1">
      <c r="E25" s="26">
        <f>F25-G26</f>
        <v>6.4000000000000909</v>
      </c>
      <c r="F25" s="38">
        <f>SUM(F5:F24)</f>
        <v>824.88</v>
      </c>
      <c r="G25" s="533">
        <f>SUM(I6:I24)</f>
        <v>311.35000000000002</v>
      </c>
      <c r="H25" s="534"/>
      <c r="I25" s="534"/>
      <c r="J25" s="518">
        <f>SUM(K6:K24)</f>
        <v>223.02999999999997</v>
      </c>
      <c r="K25" s="519"/>
      <c r="L25" s="534">
        <f>SUM(M6:M24)</f>
        <v>69.699999999999989</v>
      </c>
      <c r="M25" s="535"/>
      <c r="N25" s="518">
        <f>SUM(P6:P24)</f>
        <v>51.660000000000004</v>
      </c>
      <c r="O25" s="534"/>
      <c r="P25" s="535"/>
      <c r="Q25" s="518">
        <f>SUM(S6:S24)</f>
        <v>162.74</v>
      </c>
      <c r="R25" s="534"/>
      <c r="S25" s="519"/>
    </row>
    <row r="26" spans="4:21" ht="17.100000000000001" thickBot="1">
      <c r="F26" s="34"/>
      <c r="G26" s="536">
        <f>SUM(G25:S25)</f>
        <v>818.4799999999999</v>
      </c>
      <c r="H26" s="537"/>
      <c r="I26" s="537"/>
      <c r="J26" s="537"/>
      <c r="K26" s="537"/>
      <c r="L26" s="538"/>
      <c r="M26" s="538"/>
      <c r="N26" s="538"/>
      <c r="O26" s="538"/>
      <c r="P26" s="538"/>
      <c r="Q26" s="538"/>
      <c r="R26" s="538"/>
      <c r="S26" s="539"/>
    </row>
    <row r="27" spans="4:21" ht="17.100000000000001" thickBot="1">
      <c r="F27" s="50" t="s">
        <v>95</v>
      </c>
      <c r="G27" s="505"/>
      <c r="H27" s="506"/>
      <c r="I27" s="506"/>
      <c r="J27" s="505"/>
      <c r="K27" s="507"/>
      <c r="L27" s="508"/>
      <c r="M27" s="508"/>
      <c r="N27" s="509"/>
      <c r="O27" s="510"/>
      <c r="P27" s="511"/>
      <c r="Q27" s="510"/>
      <c r="R27" s="510"/>
      <c r="S27" s="511"/>
    </row>
    <row r="28" spans="4:21" ht="17.100000000000001" thickBot="1">
      <c r="K28" s="6"/>
      <c r="T28" s="52">
        <f>SUM(G27:S27)</f>
        <v>0</v>
      </c>
      <c r="U28" s="14"/>
    </row>
    <row r="29" spans="4:21">
      <c r="K29" s="6"/>
    </row>
    <row r="30" spans="4:21">
      <c r="K30" s="6"/>
    </row>
    <row r="31" spans="4:21">
      <c r="K31" s="6"/>
    </row>
    <row r="32" spans="4:21">
      <c r="K32" s="6"/>
    </row>
    <row r="33" spans="11:11">
      <c r="K33" s="6"/>
    </row>
    <row r="34" spans="11:11">
      <c r="K34" s="6"/>
    </row>
    <row r="35" spans="11:11">
      <c r="K35" s="6"/>
    </row>
    <row r="36" spans="11:11">
      <c r="K36" s="6"/>
    </row>
    <row r="37" spans="11:11">
      <c r="K37" s="6"/>
    </row>
    <row r="38" spans="11:11">
      <c r="K38" s="6"/>
    </row>
    <row r="39" spans="11:11">
      <c r="K39" s="6"/>
    </row>
  </sheetData>
  <mergeCells count="21">
    <mergeCell ref="E3:F3"/>
    <mergeCell ref="G3:K3"/>
    <mergeCell ref="L3:S3"/>
    <mergeCell ref="B2:C2"/>
    <mergeCell ref="E2:S2"/>
    <mergeCell ref="G4:I4"/>
    <mergeCell ref="J4:K4"/>
    <mergeCell ref="L4:M4"/>
    <mergeCell ref="N4:P4"/>
    <mergeCell ref="Q4:S4"/>
    <mergeCell ref="G25:I25"/>
    <mergeCell ref="J25:K25"/>
    <mergeCell ref="L25:M25"/>
    <mergeCell ref="N25:P25"/>
    <mergeCell ref="Q25:S25"/>
    <mergeCell ref="G26:S26"/>
    <mergeCell ref="G27:I27"/>
    <mergeCell ref="J27:K27"/>
    <mergeCell ref="L27:M27"/>
    <mergeCell ref="N27:P27"/>
    <mergeCell ref="Q27:S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9C23-C2E5-B84A-B0E9-18A5E303604C}">
  <sheetPr>
    <tabColor rgb="FFD1C1AB"/>
  </sheetPr>
  <dimension ref="B2:AJ42"/>
  <sheetViews>
    <sheetView topLeftCell="G3" zoomScale="84" zoomScaleNormal="75" workbookViewId="0">
      <selection activeCell="R17" sqref="R17"/>
    </sheetView>
  </sheetViews>
  <sheetFormatPr defaultColWidth="11" defaultRowHeight="15.95"/>
  <cols>
    <col min="15" max="15" width="19.5" customWidth="1"/>
    <col min="18" max="18" width="20.5" customWidth="1"/>
    <col min="21" max="21" width="15.625" customWidth="1"/>
    <col min="22" max="22" width="41.625" customWidth="1"/>
    <col min="30" max="30" width="6.125" customWidth="1"/>
    <col min="31" max="31" width="6" customWidth="1"/>
    <col min="32" max="32" width="6.125" customWidth="1"/>
    <col min="33" max="33" width="5.5" customWidth="1"/>
    <col min="34" max="34" width="20.625" customWidth="1"/>
    <col min="35" max="35" width="22.875" customWidth="1"/>
  </cols>
  <sheetData>
    <row r="2" spans="2:22" ht="17.100000000000001" thickBot="1"/>
    <row r="3" spans="2:22" ht="21.95" thickBot="1">
      <c r="B3" s="484" t="s">
        <v>0</v>
      </c>
      <c r="C3" s="485"/>
      <c r="D3" s="456"/>
      <c r="E3" s="570" t="s">
        <v>124</v>
      </c>
      <c r="F3" s="571"/>
      <c r="G3" s="571"/>
      <c r="H3" s="571"/>
      <c r="I3" s="571"/>
      <c r="J3" s="571"/>
      <c r="K3" s="571"/>
      <c r="L3" s="571"/>
      <c r="M3" s="571"/>
      <c r="N3" s="571"/>
      <c r="O3" s="571"/>
      <c r="P3" s="571"/>
      <c r="Q3" s="571"/>
      <c r="R3" s="571"/>
      <c r="S3" s="572"/>
      <c r="T3" s="53"/>
      <c r="U3" s="53"/>
      <c r="V3" s="53"/>
    </row>
    <row r="4" spans="2:22">
      <c r="B4" s="54" t="s">
        <v>1</v>
      </c>
      <c r="C4" s="55">
        <f>G26+J26</f>
        <v>644.52</v>
      </c>
      <c r="D4" s="458"/>
      <c r="E4" s="565" t="s">
        <v>12</v>
      </c>
      <c r="F4" s="566"/>
      <c r="G4" s="567">
        <v>0.74</v>
      </c>
      <c r="H4" s="568"/>
      <c r="I4" s="568"/>
      <c r="J4" s="568"/>
      <c r="K4" s="569"/>
      <c r="L4" s="567">
        <v>0.26</v>
      </c>
      <c r="M4" s="568"/>
      <c r="N4" s="568"/>
      <c r="O4" s="568"/>
      <c r="P4" s="568"/>
      <c r="Q4" s="568"/>
      <c r="R4" s="568"/>
      <c r="S4" s="569"/>
      <c r="T4" s="53"/>
      <c r="U4" s="53"/>
      <c r="V4" s="53"/>
    </row>
    <row r="5" spans="2:22">
      <c r="B5" s="54" t="s">
        <v>3</v>
      </c>
      <c r="C5" s="55">
        <f>L26+N26+Q26</f>
        <v>239.98000000000002</v>
      </c>
      <c r="D5" s="56"/>
      <c r="E5" s="57" t="s">
        <v>6</v>
      </c>
      <c r="F5" s="58" t="s">
        <v>7</v>
      </c>
      <c r="G5" s="559" t="s">
        <v>125</v>
      </c>
      <c r="H5" s="560"/>
      <c r="I5" s="561"/>
      <c r="J5" s="562" t="s">
        <v>126</v>
      </c>
      <c r="K5" s="563"/>
      <c r="L5" s="564" t="s">
        <v>127</v>
      </c>
      <c r="M5" s="561"/>
      <c r="N5" s="562" t="s">
        <v>128</v>
      </c>
      <c r="O5" s="560"/>
      <c r="P5" s="561"/>
      <c r="Q5" s="562" t="s">
        <v>129</v>
      </c>
      <c r="R5" s="560"/>
      <c r="S5" s="563"/>
      <c r="T5" s="53"/>
      <c r="U5" s="53"/>
      <c r="V5" s="53"/>
    </row>
    <row r="6" spans="2:22">
      <c r="B6" s="59" t="s">
        <v>5</v>
      </c>
      <c r="C6" s="60">
        <f>SUM(C4:C5)</f>
        <v>884.5</v>
      </c>
      <c r="D6" s="56"/>
      <c r="E6" s="14" t="s">
        <v>13</v>
      </c>
      <c r="F6" s="62">
        <v>509.38</v>
      </c>
      <c r="G6" s="63" t="s">
        <v>14</v>
      </c>
      <c r="H6" s="445" t="s">
        <v>15</v>
      </c>
      <c r="I6" s="64" t="s">
        <v>7</v>
      </c>
      <c r="J6" s="65" t="s">
        <v>14</v>
      </c>
      <c r="K6" s="447" t="s">
        <v>7</v>
      </c>
      <c r="L6" s="66" t="s">
        <v>14</v>
      </c>
      <c r="M6" s="67" t="s">
        <v>7</v>
      </c>
      <c r="N6" s="66" t="s">
        <v>14</v>
      </c>
      <c r="O6" s="445" t="s">
        <v>15</v>
      </c>
      <c r="P6" s="67" t="s">
        <v>7</v>
      </c>
      <c r="Q6" s="66" t="s">
        <v>14</v>
      </c>
      <c r="R6" s="445" t="s">
        <v>15</v>
      </c>
      <c r="S6" s="447" t="s">
        <v>7</v>
      </c>
      <c r="T6" s="53"/>
      <c r="U6" s="53"/>
      <c r="V6" s="53"/>
    </row>
    <row r="7" spans="2:22">
      <c r="B7" s="54" t="s">
        <v>12</v>
      </c>
      <c r="C7" s="55">
        <f>F26</f>
        <v>896.03000000000009</v>
      </c>
      <c r="D7" s="56"/>
      <c r="E7" s="61" t="s">
        <v>17</v>
      </c>
      <c r="F7" s="62">
        <v>87.2</v>
      </c>
      <c r="G7" s="68" t="s">
        <v>130</v>
      </c>
      <c r="H7" s="53" t="s">
        <v>36</v>
      </c>
      <c r="I7" s="53">
        <v>175</v>
      </c>
      <c r="J7" s="69"/>
      <c r="K7" s="70">
        <v>4.67</v>
      </c>
      <c r="L7" s="53"/>
      <c r="M7" s="71">
        <v>4.3</v>
      </c>
      <c r="N7" s="53" t="s">
        <v>131</v>
      </c>
      <c r="O7" s="53" t="s">
        <v>132</v>
      </c>
      <c r="P7" s="71">
        <v>22.98</v>
      </c>
      <c r="Q7" s="53"/>
      <c r="R7" s="53"/>
      <c r="S7" s="70">
        <v>2</v>
      </c>
      <c r="T7" s="53"/>
      <c r="U7" s="53"/>
      <c r="V7" s="53"/>
    </row>
    <row r="8" spans="2:22">
      <c r="B8" s="59" t="s">
        <v>16</v>
      </c>
      <c r="C8" s="60">
        <f>C7-C6</f>
        <v>11.530000000000086</v>
      </c>
      <c r="D8" s="56"/>
      <c r="E8" s="61" t="s">
        <v>133</v>
      </c>
      <c r="F8" s="62">
        <v>200</v>
      </c>
      <c r="G8" s="68"/>
      <c r="H8" s="53" t="s">
        <v>42</v>
      </c>
      <c r="I8" s="56">
        <v>77.67</v>
      </c>
      <c r="J8" s="69"/>
      <c r="K8" s="70">
        <v>6.24</v>
      </c>
      <c r="L8" s="53"/>
      <c r="M8" s="71">
        <v>11.5</v>
      </c>
      <c r="N8" s="53"/>
      <c r="O8" s="53" t="s">
        <v>134</v>
      </c>
      <c r="P8" s="71">
        <v>14.98</v>
      </c>
      <c r="Q8" s="53"/>
      <c r="R8" s="53" t="s">
        <v>135</v>
      </c>
      <c r="S8" s="70">
        <v>19.95</v>
      </c>
      <c r="T8" s="53"/>
      <c r="U8" s="53"/>
      <c r="V8" s="53"/>
    </row>
    <row r="9" spans="2:22">
      <c r="B9" s="72"/>
      <c r="C9" s="53"/>
      <c r="D9" s="56"/>
      <c r="E9" s="61" t="s">
        <v>70</v>
      </c>
      <c r="F9" s="62">
        <v>99.45</v>
      </c>
      <c r="G9" s="68"/>
      <c r="H9" s="53" t="s">
        <v>136</v>
      </c>
      <c r="I9" s="56">
        <v>50</v>
      </c>
      <c r="J9" s="69"/>
      <c r="K9" s="70">
        <v>5.9</v>
      </c>
      <c r="L9" s="53"/>
      <c r="M9" s="71">
        <v>4.5</v>
      </c>
      <c r="N9" s="53"/>
      <c r="O9" s="53" t="s">
        <v>137</v>
      </c>
      <c r="P9" s="71">
        <v>29.9</v>
      </c>
      <c r="Q9" s="53"/>
      <c r="R9" s="53" t="s">
        <v>138</v>
      </c>
      <c r="S9" s="70">
        <v>20</v>
      </c>
      <c r="T9" s="53"/>
      <c r="U9" s="53"/>
      <c r="V9" s="53"/>
    </row>
    <row r="10" spans="2:22">
      <c r="B10" s="53"/>
      <c r="C10" s="53"/>
      <c r="D10" s="56"/>
      <c r="E10" s="73"/>
      <c r="F10" s="74"/>
      <c r="G10" s="68" t="s">
        <v>139</v>
      </c>
      <c r="H10" s="53" t="s">
        <v>140</v>
      </c>
      <c r="I10" s="56">
        <v>16.8</v>
      </c>
      <c r="J10" s="75"/>
      <c r="K10" s="70">
        <v>12.75</v>
      </c>
      <c r="L10" s="53"/>
      <c r="M10" s="71">
        <v>8.5</v>
      </c>
      <c r="N10" s="53"/>
      <c r="O10" s="53" t="s">
        <v>141</v>
      </c>
      <c r="P10" s="71">
        <v>8.4700000000000006</v>
      </c>
      <c r="Q10" s="53"/>
      <c r="R10" s="53" t="s">
        <v>142</v>
      </c>
      <c r="S10" s="70">
        <v>50</v>
      </c>
      <c r="T10" s="53"/>
      <c r="U10" s="53"/>
      <c r="V10" s="53"/>
    </row>
    <row r="11" spans="2:22">
      <c r="B11" s="53"/>
      <c r="C11" s="53"/>
      <c r="D11" s="458"/>
      <c r="E11" s="61"/>
      <c r="F11" s="76"/>
      <c r="G11" s="68"/>
      <c r="H11" s="53" t="s">
        <v>143</v>
      </c>
      <c r="I11" s="56">
        <v>50.44</v>
      </c>
      <c r="J11" s="75"/>
      <c r="K11" s="70">
        <v>32.479999999999997</v>
      </c>
      <c r="L11" s="53"/>
      <c r="M11" s="71"/>
      <c r="N11" s="53"/>
      <c r="O11" s="53"/>
      <c r="P11" s="71"/>
      <c r="Q11" s="53"/>
      <c r="R11" s="53" t="s">
        <v>105</v>
      </c>
      <c r="S11" s="70">
        <v>20</v>
      </c>
      <c r="T11" s="53"/>
      <c r="U11" s="53"/>
      <c r="V11" s="53"/>
    </row>
    <row r="12" spans="2:22">
      <c r="B12" s="53"/>
      <c r="C12" s="53"/>
      <c r="D12" s="77"/>
      <c r="E12" s="61"/>
      <c r="F12" s="76"/>
      <c r="G12" s="68"/>
      <c r="H12" s="53"/>
      <c r="I12" s="56"/>
      <c r="J12" s="75"/>
      <c r="K12" s="70">
        <v>19.13</v>
      </c>
      <c r="L12" s="53"/>
      <c r="M12" s="71"/>
      <c r="N12" s="53"/>
      <c r="O12" s="53"/>
      <c r="P12" s="71"/>
      <c r="Q12" s="53"/>
      <c r="R12" s="53" t="s">
        <v>144</v>
      </c>
      <c r="S12" s="70">
        <v>10</v>
      </c>
      <c r="T12" s="53"/>
      <c r="U12" s="53"/>
      <c r="V12" s="53"/>
    </row>
    <row r="13" spans="2:22">
      <c r="B13" s="53"/>
      <c r="C13" s="53"/>
      <c r="D13" s="77"/>
      <c r="E13" s="78"/>
      <c r="F13" s="76"/>
      <c r="G13" s="68"/>
      <c r="H13" s="53"/>
      <c r="I13" s="56"/>
      <c r="J13" s="75"/>
      <c r="K13" s="70">
        <v>18.190000000000001</v>
      </c>
      <c r="L13" s="53"/>
      <c r="M13" s="71"/>
      <c r="N13" s="53"/>
      <c r="O13" s="53"/>
      <c r="P13" s="71"/>
      <c r="Q13" s="53"/>
      <c r="R13" s="53" t="s">
        <v>145</v>
      </c>
      <c r="S13" s="70">
        <v>2.9</v>
      </c>
      <c r="T13" s="53"/>
      <c r="U13" s="53"/>
      <c r="V13" s="53"/>
    </row>
    <row r="14" spans="2:22">
      <c r="B14" s="53"/>
      <c r="C14" s="53"/>
      <c r="D14" s="77"/>
      <c r="E14" s="78"/>
      <c r="F14" s="76"/>
      <c r="G14" s="68"/>
      <c r="H14" s="53"/>
      <c r="I14" s="56"/>
      <c r="J14" s="75"/>
      <c r="K14" s="70">
        <v>11.95</v>
      </c>
      <c r="L14" s="53"/>
      <c r="M14" s="71"/>
      <c r="N14" s="53"/>
      <c r="O14" s="53"/>
      <c r="P14" s="71"/>
      <c r="Q14" s="53"/>
      <c r="R14" s="53" t="s">
        <v>146</v>
      </c>
      <c r="S14" s="70">
        <v>10</v>
      </c>
      <c r="T14" s="53"/>
      <c r="U14" s="53"/>
      <c r="V14" s="53"/>
    </row>
    <row r="15" spans="2:22">
      <c r="B15" s="56"/>
      <c r="C15" s="53"/>
      <c r="D15" s="77"/>
      <c r="E15" s="61"/>
      <c r="F15" s="62"/>
      <c r="G15" s="68"/>
      <c r="H15" s="53"/>
      <c r="I15" s="56"/>
      <c r="J15" s="75"/>
      <c r="K15" s="70">
        <v>15.25</v>
      </c>
      <c r="L15" s="53"/>
      <c r="M15" s="71"/>
      <c r="N15" s="53"/>
      <c r="O15" s="53"/>
      <c r="P15" s="71"/>
      <c r="Q15" s="53"/>
      <c r="R15" s="53"/>
      <c r="S15" s="70"/>
      <c r="T15" s="53"/>
      <c r="U15" s="53"/>
      <c r="V15" s="53"/>
    </row>
    <row r="16" spans="2:22">
      <c r="B16" s="53"/>
      <c r="C16" s="53"/>
      <c r="D16" s="56"/>
      <c r="E16" s="79"/>
      <c r="F16" s="80"/>
      <c r="G16" s="68"/>
      <c r="H16" s="53"/>
      <c r="I16" s="56"/>
      <c r="J16" s="75"/>
      <c r="K16" s="70">
        <v>38.28</v>
      </c>
      <c r="L16" s="53"/>
      <c r="M16" s="71"/>
      <c r="N16" s="53"/>
      <c r="O16" s="53"/>
      <c r="P16" s="71"/>
      <c r="Q16" s="53"/>
      <c r="R16" s="53"/>
      <c r="S16" s="70"/>
      <c r="T16" s="53"/>
      <c r="U16" s="53"/>
      <c r="V16" s="53"/>
    </row>
    <row r="17" spans="2:22">
      <c r="B17" s="53"/>
      <c r="C17" s="53"/>
      <c r="D17" s="458"/>
      <c r="E17" s="78"/>
      <c r="F17" s="76"/>
      <c r="G17" s="68"/>
      <c r="H17" s="53"/>
      <c r="I17" s="56"/>
      <c r="J17" s="75"/>
      <c r="K17" s="70">
        <v>4.54</v>
      </c>
      <c r="L17" s="53"/>
      <c r="M17" s="71"/>
      <c r="N17" s="53"/>
      <c r="O17" s="53"/>
      <c r="P17" s="71"/>
      <c r="Q17" s="53"/>
      <c r="R17" s="53"/>
      <c r="S17" s="70"/>
      <c r="T17" s="53"/>
      <c r="U17" s="53"/>
      <c r="V17" s="53"/>
    </row>
    <row r="18" spans="2:22">
      <c r="B18" s="53"/>
      <c r="C18" s="53"/>
      <c r="D18" s="77"/>
      <c r="E18" s="78"/>
      <c r="F18" s="76"/>
      <c r="G18" s="68"/>
      <c r="H18" s="53"/>
      <c r="I18" s="56"/>
      <c r="J18" s="75"/>
      <c r="K18" s="70">
        <v>1.84</v>
      </c>
      <c r="L18" s="53"/>
      <c r="M18" s="71"/>
      <c r="N18" s="53"/>
      <c r="O18" s="53"/>
      <c r="P18" s="71"/>
      <c r="Q18" s="53"/>
      <c r="R18" s="53"/>
      <c r="S18" s="81"/>
      <c r="T18" s="53"/>
      <c r="U18" s="53"/>
      <c r="V18" s="53"/>
    </row>
    <row r="19" spans="2:22">
      <c r="B19" s="53"/>
      <c r="C19" s="53"/>
      <c r="D19" s="77"/>
      <c r="E19" s="78"/>
      <c r="F19" s="76"/>
      <c r="G19" s="68"/>
      <c r="H19" s="53"/>
      <c r="I19" s="56"/>
      <c r="J19" s="75"/>
      <c r="K19" s="70">
        <v>1.57</v>
      </c>
      <c r="L19" s="53"/>
      <c r="M19" s="71"/>
      <c r="N19" s="53"/>
      <c r="O19" s="53"/>
      <c r="P19" s="71"/>
      <c r="Q19" s="53"/>
      <c r="R19" s="53"/>
      <c r="S19" s="70"/>
      <c r="T19" s="53"/>
      <c r="U19" s="53"/>
      <c r="V19" s="53"/>
    </row>
    <row r="20" spans="2:22">
      <c r="B20" s="53"/>
      <c r="C20" s="110"/>
      <c r="D20" s="77"/>
      <c r="E20" s="78"/>
      <c r="F20" s="76"/>
      <c r="G20" s="68"/>
      <c r="H20" s="53"/>
      <c r="I20" s="56"/>
      <c r="J20" s="75"/>
      <c r="K20" s="70">
        <v>2.4900000000000002</v>
      </c>
      <c r="L20" s="53"/>
      <c r="M20" s="71"/>
      <c r="N20" s="53"/>
      <c r="O20" s="53"/>
      <c r="P20" s="71"/>
      <c r="Q20" s="53"/>
      <c r="R20" s="53"/>
      <c r="S20" s="70"/>
      <c r="T20" s="53"/>
      <c r="U20" s="53"/>
      <c r="V20" s="53"/>
    </row>
    <row r="21" spans="2:22">
      <c r="B21" s="53"/>
      <c r="C21" s="53"/>
      <c r="D21" s="77"/>
      <c r="E21" s="68"/>
      <c r="F21" s="74"/>
      <c r="G21" s="68"/>
      <c r="H21" s="53"/>
      <c r="I21" s="56"/>
      <c r="J21" s="75"/>
      <c r="K21" s="70">
        <v>11.71</v>
      </c>
      <c r="L21" s="53"/>
      <c r="M21" s="71"/>
      <c r="N21" s="53"/>
      <c r="O21" s="53"/>
      <c r="P21" s="71"/>
      <c r="Q21" s="53"/>
      <c r="R21" s="53"/>
      <c r="S21" s="70"/>
      <c r="T21" s="53"/>
      <c r="U21" s="53"/>
      <c r="V21" s="53"/>
    </row>
    <row r="22" spans="2:22">
      <c r="B22" s="53"/>
      <c r="C22" s="53"/>
      <c r="D22" s="53"/>
      <c r="E22" s="68"/>
      <c r="F22" s="74"/>
      <c r="G22" s="68"/>
      <c r="H22" s="53"/>
      <c r="I22" s="56"/>
      <c r="J22" s="75"/>
      <c r="K22" s="70">
        <v>3.48</v>
      </c>
      <c r="L22" s="53"/>
      <c r="M22" s="71"/>
      <c r="N22" s="53"/>
      <c r="O22" s="53"/>
      <c r="P22" s="71"/>
      <c r="Q22" s="53"/>
      <c r="R22" s="53"/>
      <c r="S22" s="70"/>
      <c r="T22" s="53"/>
      <c r="U22" s="53"/>
      <c r="V22" s="53"/>
    </row>
    <row r="23" spans="2:22">
      <c r="B23" s="53"/>
      <c r="C23" s="53"/>
      <c r="D23" s="53"/>
      <c r="E23" s="68"/>
      <c r="F23" s="74"/>
      <c r="G23" s="68"/>
      <c r="H23" s="53"/>
      <c r="I23" s="56"/>
      <c r="J23" s="75"/>
      <c r="K23" s="70">
        <v>9.7100000000000009</v>
      </c>
      <c r="L23" s="53"/>
      <c r="M23" s="71"/>
      <c r="N23" s="53"/>
      <c r="O23" s="53"/>
      <c r="P23" s="71"/>
      <c r="Q23" s="53"/>
      <c r="R23" s="53"/>
      <c r="S23" s="70"/>
      <c r="T23" s="53"/>
      <c r="U23" s="53"/>
      <c r="V23" s="53"/>
    </row>
    <row r="24" spans="2:22">
      <c r="B24" s="53"/>
      <c r="C24" s="53"/>
      <c r="D24" s="53"/>
      <c r="E24" s="68"/>
      <c r="F24" s="74"/>
      <c r="G24" s="68"/>
      <c r="H24" s="53"/>
      <c r="I24" s="56"/>
      <c r="J24" s="75"/>
      <c r="K24" s="70">
        <v>41.93</v>
      </c>
      <c r="L24" s="53"/>
      <c r="M24" s="71"/>
      <c r="N24" s="53"/>
      <c r="O24" s="53"/>
      <c r="P24" s="71"/>
      <c r="Q24" s="53"/>
      <c r="R24" s="53"/>
      <c r="S24" s="70"/>
      <c r="T24" s="53"/>
      <c r="U24" s="53"/>
      <c r="V24" s="53"/>
    </row>
    <row r="25" spans="2:22">
      <c r="B25" s="53"/>
      <c r="C25" s="53"/>
      <c r="D25" s="53"/>
      <c r="E25" s="68"/>
      <c r="F25" s="74"/>
      <c r="G25" s="68"/>
      <c r="H25" s="53"/>
      <c r="I25" s="56"/>
      <c r="J25" s="75"/>
      <c r="K25" s="70">
        <v>32.5</v>
      </c>
      <c r="L25" s="53"/>
      <c r="M25" s="71"/>
      <c r="N25" s="53"/>
      <c r="O25" s="53"/>
      <c r="P25" s="71"/>
      <c r="Q25" s="53"/>
      <c r="R25" s="53"/>
      <c r="S25" s="70"/>
      <c r="T25" s="53"/>
      <c r="U25" s="53"/>
      <c r="V25" s="53"/>
    </row>
    <row r="26" spans="2:22" ht="17.100000000000001" thickBot="1">
      <c r="B26" s="53"/>
      <c r="C26" s="53"/>
      <c r="D26" s="53"/>
      <c r="E26" s="82">
        <f>F26-G27</f>
        <v>11.530000000000086</v>
      </c>
      <c r="F26" s="83">
        <f>SUM(F6:F25)</f>
        <v>896.03000000000009</v>
      </c>
      <c r="G26" s="555">
        <f>SUM(I7:I25)</f>
        <v>369.91</v>
      </c>
      <c r="H26" s="549"/>
      <c r="I26" s="556"/>
      <c r="J26" s="557">
        <f>SUM(K7:K25)</f>
        <v>274.61</v>
      </c>
      <c r="K26" s="551"/>
      <c r="L26" s="558">
        <f>SUM(M7:M25)</f>
        <v>28.8</v>
      </c>
      <c r="M26" s="550"/>
      <c r="N26" s="548">
        <f>SUM(P7:P25)</f>
        <v>76.33</v>
      </c>
      <c r="O26" s="549"/>
      <c r="P26" s="550"/>
      <c r="Q26" s="548">
        <f>SUM(S7:S25)</f>
        <v>134.85000000000002</v>
      </c>
      <c r="R26" s="549"/>
      <c r="S26" s="551"/>
      <c r="T26" s="53"/>
      <c r="U26" s="53"/>
      <c r="V26" s="53"/>
    </row>
    <row r="27" spans="2:22" ht="17.100000000000001" thickBot="1">
      <c r="B27" s="53"/>
      <c r="C27" s="53"/>
      <c r="D27" s="53"/>
      <c r="E27" s="53"/>
      <c r="F27" s="74"/>
      <c r="G27" s="552">
        <f>SUM(G26,J26,L26,N26,Q26)</f>
        <v>884.5</v>
      </c>
      <c r="H27" s="553"/>
      <c r="I27" s="553"/>
      <c r="J27" s="553"/>
      <c r="K27" s="553"/>
      <c r="L27" s="553"/>
      <c r="M27" s="553"/>
      <c r="N27" s="553"/>
      <c r="O27" s="553"/>
      <c r="P27" s="553"/>
      <c r="Q27" s="553"/>
      <c r="R27" s="553"/>
      <c r="S27" s="554"/>
      <c r="T27" s="53"/>
      <c r="U27" s="53"/>
      <c r="V27" s="53"/>
    </row>
    <row r="28" spans="2:22" ht="17.100000000000001" thickBot="1">
      <c r="B28" s="53"/>
      <c r="C28" s="53"/>
      <c r="D28" s="53"/>
      <c r="E28" s="53"/>
      <c r="F28" s="84" t="s">
        <v>95</v>
      </c>
      <c r="G28" s="543">
        <v>370</v>
      </c>
      <c r="H28" s="544"/>
      <c r="I28" s="545"/>
      <c r="J28" s="543">
        <v>150</v>
      </c>
      <c r="K28" s="546"/>
      <c r="L28" s="547">
        <v>50</v>
      </c>
      <c r="M28" s="545"/>
      <c r="N28" s="543">
        <v>50</v>
      </c>
      <c r="O28" s="544"/>
      <c r="P28" s="546"/>
      <c r="Q28" s="547">
        <v>100</v>
      </c>
      <c r="R28" s="544"/>
      <c r="S28" s="546"/>
      <c r="T28" s="53"/>
      <c r="U28" s="53"/>
      <c r="V28" s="53"/>
    </row>
    <row r="29" spans="2:22" ht="17.100000000000001" thickBot="1">
      <c r="B29" s="53"/>
      <c r="C29" s="53"/>
      <c r="D29" s="53"/>
      <c r="E29" s="53"/>
      <c r="F29" s="53"/>
      <c r="G29" s="53"/>
      <c r="H29" s="53"/>
      <c r="I29" s="53"/>
      <c r="J29" s="53"/>
      <c r="K29" s="56"/>
      <c r="L29" s="53"/>
      <c r="M29" s="53"/>
      <c r="N29" s="53"/>
      <c r="O29" s="53"/>
      <c r="P29" s="53"/>
      <c r="Q29" s="53"/>
      <c r="R29" s="53"/>
      <c r="S29" s="53"/>
      <c r="T29" s="85">
        <f>SUM(G28:S28)</f>
        <v>720</v>
      </c>
      <c r="U29" s="56"/>
      <c r="V29" s="53"/>
    </row>
    <row r="30" spans="2:22">
      <c r="B30" s="53"/>
      <c r="C30" s="53"/>
      <c r="D30" s="53"/>
      <c r="E30" s="53"/>
      <c r="F30" s="53"/>
      <c r="G30" s="53"/>
      <c r="H30" s="53"/>
      <c r="I30" s="53"/>
      <c r="J30" s="53"/>
      <c r="K30" s="56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</row>
    <row r="31" spans="2:22" ht="24">
      <c r="B31" s="53"/>
      <c r="C31" s="53"/>
      <c r="D31" s="53"/>
      <c r="E31" s="541" t="s">
        <v>147</v>
      </c>
      <c r="F31" s="541"/>
      <c r="G31" s="541"/>
      <c r="H31" s="541"/>
      <c r="I31" s="541"/>
      <c r="J31" s="541"/>
      <c r="K31" s="56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</row>
    <row r="32" spans="2:22" ht="15.95" customHeight="1">
      <c r="B32" s="53"/>
      <c r="C32" s="53"/>
      <c r="D32" s="53"/>
      <c r="E32" s="542" t="s">
        <v>148</v>
      </c>
      <c r="F32" s="542"/>
      <c r="G32" s="542"/>
      <c r="H32" s="542"/>
      <c r="I32" s="542"/>
      <c r="J32" s="542"/>
      <c r="K32" s="542"/>
      <c r="L32" s="542"/>
      <c r="M32" s="542"/>
      <c r="N32" s="542"/>
      <c r="O32" s="86"/>
      <c r="P32" s="86"/>
      <c r="Q32" s="86"/>
      <c r="R32" s="86"/>
      <c r="S32" s="86"/>
      <c r="T32" s="53"/>
      <c r="U32" s="53"/>
      <c r="V32" s="53"/>
    </row>
    <row r="33" spans="2:36" ht="15.95" customHeight="1">
      <c r="B33" s="53"/>
      <c r="C33" s="53"/>
      <c r="D33" s="53"/>
      <c r="E33" s="542"/>
      <c r="F33" s="542"/>
      <c r="G33" s="542"/>
      <c r="H33" s="542"/>
      <c r="I33" s="542"/>
      <c r="J33" s="542"/>
      <c r="K33" s="542"/>
      <c r="L33" s="542"/>
      <c r="M33" s="542"/>
      <c r="N33" s="542"/>
      <c r="O33" s="86"/>
      <c r="P33" s="86"/>
      <c r="Q33" s="86"/>
      <c r="R33" s="86"/>
      <c r="S33" s="86"/>
      <c r="T33" s="53"/>
      <c r="U33" s="53"/>
      <c r="V33" s="53"/>
    </row>
    <row r="34" spans="2:36" ht="15.95" customHeight="1">
      <c r="B34" s="53"/>
      <c r="C34" s="53"/>
      <c r="D34" s="53"/>
      <c r="E34" s="542"/>
      <c r="F34" s="542"/>
      <c r="G34" s="542"/>
      <c r="H34" s="542"/>
      <c r="I34" s="542"/>
      <c r="J34" s="542"/>
      <c r="K34" s="542"/>
      <c r="L34" s="542"/>
      <c r="M34" s="542"/>
      <c r="N34" s="542"/>
      <c r="O34" s="86"/>
      <c r="P34" s="86"/>
      <c r="Q34" s="86"/>
      <c r="R34" s="86"/>
      <c r="S34" s="86"/>
      <c r="T34" s="53"/>
      <c r="U34" s="53"/>
      <c r="V34" s="53"/>
    </row>
    <row r="35" spans="2:36" ht="15.95" customHeight="1">
      <c r="B35" s="53"/>
      <c r="C35" s="53"/>
      <c r="D35" s="53"/>
      <c r="E35" s="542"/>
      <c r="F35" s="542"/>
      <c r="G35" s="542"/>
      <c r="H35" s="542"/>
      <c r="I35" s="542"/>
      <c r="J35" s="542"/>
      <c r="K35" s="542"/>
      <c r="L35" s="542"/>
      <c r="M35" s="542"/>
      <c r="N35" s="542"/>
      <c r="O35" s="86"/>
      <c r="P35" s="86"/>
      <c r="Q35" s="86"/>
      <c r="R35" s="86"/>
      <c r="S35" s="86"/>
      <c r="T35" s="53"/>
      <c r="U35" s="53"/>
      <c r="V35" s="53"/>
    </row>
    <row r="36" spans="2:36" ht="15.95" customHeight="1">
      <c r="B36" s="53"/>
      <c r="C36" s="53"/>
      <c r="D36" s="53"/>
      <c r="E36" s="542"/>
      <c r="F36" s="542"/>
      <c r="G36" s="542"/>
      <c r="H36" s="542"/>
      <c r="I36" s="542"/>
      <c r="J36" s="542"/>
      <c r="K36" s="542"/>
      <c r="L36" s="542"/>
      <c r="M36" s="542"/>
      <c r="N36" s="542"/>
      <c r="O36" s="86"/>
      <c r="P36" s="86"/>
      <c r="Q36" s="86"/>
      <c r="R36" s="86"/>
      <c r="S36" s="86"/>
      <c r="T36" s="53"/>
      <c r="U36" s="53"/>
      <c r="V36" s="53"/>
    </row>
    <row r="37" spans="2:36" ht="15.95" customHeight="1">
      <c r="B37" s="53"/>
      <c r="C37" s="53"/>
      <c r="D37" s="53"/>
      <c r="E37" s="542"/>
      <c r="F37" s="542"/>
      <c r="G37" s="542"/>
      <c r="H37" s="542"/>
      <c r="I37" s="542"/>
      <c r="J37" s="542"/>
      <c r="K37" s="542"/>
      <c r="L37" s="542"/>
      <c r="M37" s="542"/>
      <c r="N37" s="542"/>
      <c r="O37" s="86"/>
      <c r="P37" s="86"/>
      <c r="Q37" s="86"/>
      <c r="R37" s="86"/>
      <c r="S37" s="86"/>
      <c r="T37" s="53"/>
      <c r="U37" s="53"/>
      <c r="V37" s="53"/>
    </row>
    <row r="38" spans="2:36" ht="15.95" customHeight="1">
      <c r="B38" s="53"/>
      <c r="C38" s="53"/>
      <c r="D38" s="53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53"/>
      <c r="U38" s="53"/>
      <c r="V38" s="53"/>
    </row>
    <row r="39" spans="2:36" ht="15.95" customHeight="1">
      <c r="B39" s="53"/>
      <c r="C39" s="53"/>
      <c r="D39" s="53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53"/>
      <c r="U39" s="53"/>
      <c r="AJ39" s="53"/>
    </row>
    <row r="40" spans="2:36" ht="15.95" customHeight="1"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</row>
    <row r="41" spans="2:36" ht="15.95" customHeight="1"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</row>
    <row r="42" spans="2:36" ht="15.95" customHeight="1"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</row>
  </sheetData>
  <mergeCells count="23">
    <mergeCell ref="E4:F4"/>
    <mergeCell ref="G4:K4"/>
    <mergeCell ref="L4:S4"/>
    <mergeCell ref="B3:C3"/>
    <mergeCell ref="E3:S3"/>
    <mergeCell ref="G5:I5"/>
    <mergeCell ref="J5:K5"/>
    <mergeCell ref="L5:M5"/>
    <mergeCell ref="N5:P5"/>
    <mergeCell ref="Q5:S5"/>
    <mergeCell ref="Q28:S28"/>
    <mergeCell ref="N26:P26"/>
    <mergeCell ref="Q26:S26"/>
    <mergeCell ref="G27:S27"/>
    <mergeCell ref="G26:I26"/>
    <mergeCell ref="J26:K26"/>
    <mergeCell ref="L26:M26"/>
    <mergeCell ref="E31:J31"/>
    <mergeCell ref="E32:N37"/>
    <mergeCell ref="G28:I28"/>
    <mergeCell ref="J28:K28"/>
    <mergeCell ref="L28:M28"/>
    <mergeCell ref="N28:P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E55D-89E2-4A42-A3AE-96389352A14A}">
  <sheetPr>
    <tabColor rgb="FFD1C1AB"/>
  </sheetPr>
  <dimension ref="B4:AA45"/>
  <sheetViews>
    <sheetView topLeftCell="N9" zoomScale="65" zoomScaleNormal="71" workbookViewId="0">
      <selection activeCell="R23" sqref="R23"/>
    </sheetView>
  </sheetViews>
  <sheetFormatPr defaultColWidth="11" defaultRowHeight="15.95"/>
  <cols>
    <col min="1" max="1" width="6.125" customWidth="1"/>
    <col min="2" max="2" width="11.5" customWidth="1"/>
    <col min="4" max="4" width="7.125" customWidth="1"/>
    <col min="5" max="5" width="16.5" customWidth="1"/>
    <col min="6" max="6" width="14.625" customWidth="1"/>
    <col min="7" max="7" width="24.625" customWidth="1"/>
    <col min="8" max="10" width="12" customWidth="1"/>
    <col min="11" max="11" width="25.625" customWidth="1"/>
    <col min="12" max="12" width="9.5" customWidth="1"/>
    <col min="13" max="13" width="13.625" customWidth="1"/>
    <col min="14" max="14" width="19.375" customWidth="1"/>
    <col min="15" max="15" width="11.5" customWidth="1"/>
    <col min="16" max="16" width="20.875" customWidth="1"/>
    <col min="17" max="17" width="13.5" customWidth="1"/>
    <col min="18" max="18" width="20.5" customWidth="1"/>
    <col min="19" max="19" width="10.375" customWidth="1"/>
    <col min="20" max="20" width="20.875" customWidth="1"/>
    <col min="21" max="21" width="10.625" customWidth="1"/>
    <col min="22" max="22" width="29.875" customWidth="1"/>
    <col min="23" max="23" width="11" customWidth="1"/>
    <col min="25" max="25" width="19.625" customWidth="1"/>
    <col min="26" max="26" width="25" customWidth="1"/>
    <col min="27" max="27" width="51.125" customWidth="1"/>
  </cols>
  <sheetData>
    <row r="4" spans="2:27" ht="17.100000000000001" thickBot="1"/>
    <row r="5" spans="2:27" ht="21.95" thickBot="1">
      <c r="B5" s="484" t="s">
        <v>0</v>
      </c>
      <c r="C5" s="485"/>
      <c r="D5" s="456"/>
      <c r="E5" s="570" t="s">
        <v>149</v>
      </c>
      <c r="F5" s="571"/>
      <c r="G5" s="571"/>
      <c r="H5" s="571"/>
      <c r="I5" s="571"/>
      <c r="J5" s="571"/>
      <c r="K5" s="571"/>
      <c r="L5" s="571"/>
      <c r="M5" s="571"/>
      <c r="N5" s="571"/>
      <c r="O5" s="571"/>
      <c r="P5" s="571"/>
      <c r="Q5" s="571"/>
      <c r="R5" s="571"/>
      <c r="S5" s="571"/>
      <c r="T5" s="571"/>
      <c r="U5" s="571"/>
      <c r="V5" s="571"/>
      <c r="W5" s="572"/>
      <c r="X5" s="53"/>
      <c r="Y5" s="88" t="s">
        <v>150</v>
      </c>
      <c r="Z5" s="89" t="s">
        <v>151</v>
      </c>
      <c r="AA5" s="90"/>
    </row>
    <row r="6" spans="2:27">
      <c r="B6" s="54" t="s">
        <v>1</v>
      </c>
      <c r="C6" s="55">
        <f>G37</f>
        <v>641.17999999999984</v>
      </c>
      <c r="D6" s="458"/>
      <c r="E6" s="587" t="s">
        <v>152</v>
      </c>
      <c r="F6" s="588"/>
      <c r="G6" s="589" t="s">
        <v>153</v>
      </c>
      <c r="H6" s="590"/>
      <c r="I6" s="590"/>
      <c r="J6" s="590"/>
      <c r="K6" s="590"/>
      <c r="L6" s="590"/>
      <c r="M6" s="590"/>
      <c r="N6" s="602" t="s">
        <v>154</v>
      </c>
      <c r="O6" s="603"/>
      <c r="P6" s="603"/>
      <c r="Q6" s="603"/>
      <c r="R6" s="603"/>
      <c r="S6" s="603"/>
      <c r="T6" s="603"/>
      <c r="U6" s="603"/>
      <c r="V6" s="603"/>
      <c r="W6" s="604"/>
      <c r="X6" s="53"/>
      <c r="Y6" s="91" t="s">
        <v>36</v>
      </c>
      <c r="Z6" s="92" t="s">
        <v>155</v>
      </c>
      <c r="AA6" s="93"/>
    </row>
    <row r="7" spans="2:27">
      <c r="B7" s="54" t="s">
        <v>154</v>
      </c>
      <c r="C7" s="55">
        <f>N37</f>
        <v>360.02</v>
      </c>
      <c r="D7" s="56"/>
      <c r="E7" s="57" t="s">
        <v>6</v>
      </c>
      <c r="F7" s="58" t="s">
        <v>7</v>
      </c>
      <c r="G7" s="591" t="s">
        <v>156</v>
      </c>
      <c r="H7" s="592"/>
      <c r="I7" s="585" t="s">
        <v>157</v>
      </c>
      <c r="J7" s="586"/>
      <c r="K7" s="593" t="s">
        <v>158</v>
      </c>
      <c r="L7" s="594"/>
      <c r="M7" s="118" t="s">
        <v>9</v>
      </c>
      <c r="N7" s="595" t="s">
        <v>159</v>
      </c>
      <c r="O7" s="596"/>
      <c r="P7" s="583" t="s">
        <v>160</v>
      </c>
      <c r="Q7" s="584"/>
      <c r="R7" s="597" t="s">
        <v>161</v>
      </c>
      <c r="S7" s="597"/>
      <c r="T7" s="600" t="s">
        <v>162</v>
      </c>
      <c r="U7" s="601"/>
      <c r="V7" s="598" t="s">
        <v>163</v>
      </c>
      <c r="W7" s="599"/>
      <c r="X7" s="53"/>
      <c r="Y7" s="91" t="s">
        <v>164</v>
      </c>
      <c r="Z7" s="92" t="s">
        <v>165</v>
      </c>
      <c r="AA7" s="93"/>
    </row>
    <row r="8" spans="2:27">
      <c r="B8" s="59" t="s">
        <v>5</v>
      </c>
      <c r="C8" s="60">
        <f>C6+C7</f>
        <v>1001.1999999999998</v>
      </c>
      <c r="D8" s="56"/>
      <c r="E8" s="14" t="s">
        <v>13</v>
      </c>
      <c r="F8" s="62">
        <v>509.68</v>
      </c>
      <c r="G8" s="448" t="s">
        <v>166</v>
      </c>
      <c r="H8" s="64" t="s">
        <v>7</v>
      </c>
      <c r="I8" s="448" t="s">
        <v>166</v>
      </c>
      <c r="J8" s="64" t="s">
        <v>7</v>
      </c>
      <c r="K8" s="64" t="s">
        <v>166</v>
      </c>
      <c r="L8" s="64" t="s">
        <v>7</v>
      </c>
      <c r="M8" s="119" t="s">
        <v>7</v>
      </c>
      <c r="N8" s="448" t="s">
        <v>166</v>
      </c>
      <c r="O8" s="67" t="s">
        <v>7</v>
      </c>
      <c r="P8" s="64" t="s">
        <v>166</v>
      </c>
      <c r="Q8" s="67" t="s">
        <v>7</v>
      </c>
      <c r="R8" s="64" t="s">
        <v>166</v>
      </c>
      <c r="S8" s="64" t="s">
        <v>7</v>
      </c>
      <c r="T8" s="87" t="s">
        <v>166</v>
      </c>
      <c r="U8" s="67" t="s">
        <v>7</v>
      </c>
      <c r="V8" s="64" t="s">
        <v>166</v>
      </c>
      <c r="W8" s="447" t="s">
        <v>7</v>
      </c>
      <c r="X8" s="53"/>
      <c r="Y8" s="91" t="s">
        <v>42</v>
      </c>
      <c r="Z8" s="92"/>
      <c r="AA8" s="93"/>
    </row>
    <row r="9" spans="2:27">
      <c r="B9" s="54" t="s">
        <v>12</v>
      </c>
      <c r="C9" s="55">
        <f>F36</f>
        <v>5.0100000000002183</v>
      </c>
      <c r="D9" s="56"/>
      <c r="E9" s="61" t="s">
        <v>133</v>
      </c>
      <c r="F9" s="62">
        <v>785</v>
      </c>
      <c r="G9" s="68" t="s">
        <v>167</v>
      </c>
      <c r="H9" s="56">
        <v>175</v>
      </c>
      <c r="I9" s="68" t="s">
        <v>42</v>
      </c>
      <c r="J9" s="56">
        <v>81.099999999999994</v>
      </c>
      <c r="K9" s="56" t="s">
        <v>168</v>
      </c>
      <c r="L9" s="56">
        <v>6.35</v>
      </c>
      <c r="M9" s="120">
        <v>3.76</v>
      </c>
      <c r="N9" s="152" t="s">
        <v>169</v>
      </c>
      <c r="O9" s="151">
        <v>7.99</v>
      </c>
      <c r="P9" s="153" t="s">
        <v>170</v>
      </c>
      <c r="Q9" s="153">
        <v>37.76</v>
      </c>
      <c r="R9" s="69"/>
      <c r="S9" s="71"/>
      <c r="T9" s="53" t="s">
        <v>171</v>
      </c>
      <c r="U9" s="71">
        <v>24.25</v>
      </c>
      <c r="V9" s="53" t="s">
        <v>172</v>
      </c>
      <c r="W9" s="70">
        <v>24</v>
      </c>
      <c r="X9" s="53"/>
      <c r="Y9" s="91" t="s">
        <v>173</v>
      </c>
      <c r="Z9" s="92" t="s">
        <v>174</v>
      </c>
      <c r="AA9" s="93"/>
    </row>
    <row r="10" spans="2:27">
      <c r="B10" s="72"/>
      <c r="C10" s="126"/>
      <c r="D10" s="56"/>
      <c r="E10" s="61" t="s">
        <v>175</v>
      </c>
      <c r="F10" s="62">
        <v>11.53</v>
      </c>
      <c r="G10" s="68" t="s">
        <v>176</v>
      </c>
      <c r="H10" s="56">
        <v>65</v>
      </c>
      <c r="I10" s="68" t="s">
        <v>177</v>
      </c>
      <c r="J10" s="56">
        <v>19.899999999999999</v>
      </c>
      <c r="K10" s="56" t="s">
        <v>178</v>
      </c>
      <c r="L10" s="56">
        <v>9.99</v>
      </c>
      <c r="M10" s="120">
        <v>2.89</v>
      </c>
      <c r="N10" s="61" t="s">
        <v>179</v>
      </c>
      <c r="O10" s="71">
        <v>6</v>
      </c>
      <c r="P10" s="56" t="s">
        <v>180</v>
      </c>
      <c r="Q10" s="71">
        <v>6</v>
      </c>
      <c r="R10" s="53"/>
      <c r="S10" s="56"/>
      <c r="T10" s="75" t="s">
        <v>181</v>
      </c>
      <c r="U10" s="71">
        <v>8.1</v>
      </c>
      <c r="V10" s="53" t="s">
        <v>182</v>
      </c>
      <c r="W10" s="70">
        <v>17</v>
      </c>
      <c r="X10" s="53"/>
      <c r="Y10" s="94" t="s">
        <v>140</v>
      </c>
      <c r="Z10" s="95" t="s">
        <v>183</v>
      </c>
      <c r="AA10" s="96"/>
    </row>
    <row r="11" spans="2:27">
      <c r="B11" s="53"/>
      <c r="C11" s="56"/>
      <c r="D11" s="56"/>
      <c r="E11" s="61" t="s">
        <v>184</v>
      </c>
      <c r="F11" s="113">
        <v>100</v>
      </c>
      <c r="G11" s="68" t="s">
        <v>185</v>
      </c>
      <c r="H11" s="56">
        <v>16.8</v>
      </c>
      <c r="I11" s="75"/>
      <c r="J11" s="71"/>
      <c r="K11" s="56" t="s">
        <v>186</v>
      </c>
      <c r="L11" s="56">
        <v>1.99</v>
      </c>
      <c r="M11" s="120">
        <v>3.99</v>
      </c>
      <c r="N11" s="152" t="s">
        <v>169</v>
      </c>
      <c r="O11" s="151">
        <v>7.99</v>
      </c>
      <c r="P11" s="56" t="s">
        <v>187</v>
      </c>
      <c r="Q11" s="71">
        <v>4.26</v>
      </c>
      <c r="R11" s="53"/>
      <c r="S11" s="56"/>
      <c r="T11" s="75" t="s">
        <v>188</v>
      </c>
      <c r="U11" s="71">
        <v>3.99</v>
      </c>
      <c r="V11" s="53" t="s">
        <v>189</v>
      </c>
      <c r="W11" s="70">
        <v>60</v>
      </c>
      <c r="X11" s="53"/>
      <c r="Y11" s="88" t="s">
        <v>190</v>
      </c>
      <c r="Z11" s="97" t="s">
        <v>191</v>
      </c>
      <c r="AA11" s="90"/>
    </row>
    <row r="12" spans="2:27">
      <c r="B12" s="53"/>
      <c r="C12" s="53"/>
      <c r="D12" s="56"/>
      <c r="E12" s="73"/>
      <c r="F12" s="113"/>
      <c r="G12" s="68"/>
      <c r="H12" s="56"/>
      <c r="I12" s="75"/>
      <c r="J12" s="71"/>
      <c r="K12" s="56" t="s">
        <v>192</v>
      </c>
      <c r="L12" s="56">
        <v>7.5</v>
      </c>
      <c r="M12" s="120">
        <v>6.36</v>
      </c>
      <c r="N12" s="152" t="s">
        <v>169</v>
      </c>
      <c r="O12" s="151">
        <v>7.99</v>
      </c>
      <c r="P12" s="56" t="s">
        <v>193</v>
      </c>
      <c r="Q12" s="71">
        <v>10.19</v>
      </c>
      <c r="R12" s="53"/>
      <c r="S12" s="56"/>
      <c r="T12" s="75"/>
      <c r="U12" s="71"/>
      <c r="V12" s="53" t="s">
        <v>194</v>
      </c>
      <c r="W12" s="70">
        <v>21.5</v>
      </c>
      <c r="X12" s="53"/>
      <c r="Y12" s="91" t="s">
        <v>195</v>
      </c>
      <c r="Z12" s="98" t="s">
        <v>196</v>
      </c>
      <c r="AA12" s="93"/>
    </row>
    <row r="13" spans="2:27">
      <c r="B13" s="53"/>
      <c r="C13" s="53"/>
      <c r="D13" s="458"/>
      <c r="E13" s="61"/>
      <c r="F13" s="76"/>
      <c r="G13" s="68"/>
      <c r="H13" s="56"/>
      <c r="I13" s="75"/>
      <c r="J13" s="71"/>
      <c r="K13" s="56" t="s">
        <v>197</v>
      </c>
      <c r="L13" s="56">
        <v>2.5</v>
      </c>
      <c r="M13" s="120">
        <v>4.33</v>
      </c>
      <c r="N13" s="61" t="s">
        <v>198</v>
      </c>
      <c r="O13" s="71">
        <v>6</v>
      </c>
      <c r="P13" s="56" t="s">
        <v>199</v>
      </c>
      <c r="Q13" s="71">
        <v>5</v>
      </c>
      <c r="R13" s="53"/>
      <c r="S13" s="56"/>
      <c r="T13" s="75"/>
      <c r="U13" s="71"/>
      <c r="V13" s="53" t="s">
        <v>200</v>
      </c>
      <c r="W13" s="70">
        <v>2</v>
      </c>
      <c r="X13" s="53"/>
      <c r="Y13" s="91" t="s">
        <v>201</v>
      </c>
      <c r="Z13" s="98" t="s">
        <v>202</v>
      </c>
      <c r="AA13" s="93"/>
    </row>
    <row r="14" spans="2:27">
      <c r="B14" s="53"/>
      <c r="C14" s="53"/>
      <c r="D14" s="77"/>
      <c r="E14" s="61"/>
      <c r="F14" s="76"/>
      <c r="G14" s="68"/>
      <c r="H14" s="56"/>
      <c r="I14" s="75"/>
      <c r="J14" s="71"/>
      <c r="K14" s="56" t="s">
        <v>203</v>
      </c>
      <c r="L14" s="56">
        <v>2.7</v>
      </c>
      <c r="M14" s="120">
        <v>0.57999999999999996</v>
      </c>
      <c r="N14" s="61"/>
      <c r="O14" s="71"/>
      <c r="P14" s="56"/>
      <c r="Q14" s="71"/>
      <c r="R14" s="53"/>
      <c r="S14" s="56"/>
      <c r="T14" s="75"/>
      <c r="U14" s="71"/>
      <c r="V14" s="53"/>
      <c r="W14" s="70"/>
      <c r="X14" s="53"/>
      <c r="Y14" s="91" t="s">
        <v>204</v>
      </c>
      <c r="Z14" s="98" t="s">
        <v>205</v>
      </c>
      <c r="AA14" s="93"/>
    </row>
    <row r="15" spans="2:27">
      <c r="B15" s="53"/>
      <c r="C15" s="53"/>
      <c r="D15" s="77"/>
      <c r="E15" s="78"/>
      <c r="F15" s="76"/>
      <c r="G15" s="68"/>
      <c r="H15" s="56"/>
      <c r="I15" s="150" t="s">
        <v>206</v>
      </c>
      <c r="J15" s="151">
        <v>164.79</v>
      </c>
      <c r="K15" s="56"/>
      <c r="L15" s="56"/>
      <c r="M15" s="120">
        <v>5.76</v>
      </c>
      <c r="N15" s="61"/>
      <c r="O15" s="71"/>
      <c r="P15" s="56"/>
      <c r="Q15" s="71"/>
      <c r="R15" s="53"/>
      <c r="S15" s="56"/>
      <c r="T15" s="75"/>
      <c r="U15" s="71"/>
      <c r="V15" s="154" t="s">
        <v>207</v>
      </c>
      <c r="W15" s="155"/>
      <c r="X15" s="53"/>
      <c r="Y15" s="94" t="s">
        <v>208</v>
      </c>
      <c r="Z15" s="99" t="s">
        <v>209</v>
      </c>
      <c r="AA15" s="96"/>
    </row>
    <row r="16" spans="2:27">
      <c r="B16" s="53"/>
      <c r="C16" s="53"/>
      <c r="D16" s="77"/>
      <c r="E16" s="78"/>
      <c r="F16" s="76"/>
      <c r="G16" s="68"/>
      <c r="H16" s="56"/>
      <c r="I16" s="75"/>
      <c r="J16" s="71"/>
      <c r="K16" s="56"/>
      <c r="L16" s="56"/>
      <c r="M16" s="120">
        <v>4.7699999999999996</v>
      </c>
      <c r="N16" s="61"/>
      <c r="O16" s="71"/>
      <c r="P16" s="56"/>
      <c r="Q16" s="71"/>
      <c r="R16" s="53"/>
      <c r="S16" s="56"/>
      <c r="T16" s="75"/>
      <c r="U16" s="71"/>
      <c r="V16" s="154" t="s">
        <v>42</v>
      </c>
      <c r="W16" s="155">
        <v>20</v>
      </c>
      <c r="X16" s="53"/>
      <c r="Y16" s="88" t="s">
        <v>9</v>
      </c>
      <c r="Z16" s="89" t="s">
        <v>210</v>
      </c>
      <c r="AA16" s="90"/>
    </row>
    <row r="17" spans="2:27">
      <c r="B17" s="53"/>
      <c r="C17" s="53"/>
      <c r="D17" s="77"/>
      <c r="E17" s="61"/>
      <c r="F17" s="62"/>
      <c r="G17" s="68"/>
      <c r="H17" s="56"/>
      <c r="I17" s="75"/>
      <c r="J17" s="71"/>
      <c r="K17" s="56"/>
      <c r="L17" s="56"/>
      <c r="M17" s="120">
        <v>7.38</v>
      </c>
      <c r="N17" s="61"/>
      <c r="O17" s="71"/>
      <c r="P17" s="56"/>
      <c r="Q17" s="71"/>
      <c r="R17" s="53"/>
      <c r="S17" s="56"/>
      <c r="T17" s="75"/>
      <c r="U17" s="71"/>
      <c r="V17" s="154" t="s">
        <v>211</v>
      </c>
      <c r="W17" s="155">
        <v>20</v>
      </c>
      <c r="X17" s="53"/>
      <c r="Y17" s="91" t="s">
        <v>36</v>
      </c>
      <c r="Z17" s="98" t="s">
        <v>212</v>
      </c>
      <c r="AA17" s="93"/>
    </row>
    <row r="18" spans="2:27">
      <c r="B18" s="53"/>
      <c r="C18" s="56"/>
      <c r="D18" s="56"/>
      <c r="E18" s="79"/>
      <c r="F18" s="80"/>
      <c r="G18" s="68"/>
      <c r="H18" s="56"/>
      <c r="I18" s="75"/>
      <c r="J18" s="71"/>
      <c r="K18" s="56"/>
      <c r="L18" s="56"/>
      <c r="M18" s="120">
        <v>3.28</v>
      </c>
      <c r="N18" s="61"/>
      <c r="O18" s="71"/>
      <c r="P18" s="56"/>
      <c r="Q18" s="71"/>
      <c r="R18" s="53"/>
      <c r="S18" s="56"/>
      <c r="T18" s="75"/>
      <c r="U18" s="71"/>
      <c r="V18" s="154" t="s">
        <v>213</v>
      </c>
      <c r="W18" s="155">
        <v>40</v>
      </c>
      <c r="X18" s="53"/>
      <c r="Y18" s="100" t="s">
        <v>159</v>
      </c>
      <c r="Z18" s="114" t="s">
        <v>214</v>
      </c>
      <c r="AA18" s="102"/>
    </row>
    <row r="19" spans="2:27">
      <c r="B19" s="53"/>
      <c r="C19" s="56"/>
      <c r="D19" s="458"/>
      <c r="E19" s="78"/>
      <c r="F19" s="76"/>
      <c r="G19" s="68"/>
      <c r="H19" s="56"/>
      <c r="I19" s="75"/>
      <c r="J19" s="71"/>
      <c r="K19" s="56"/>
      <c r="L19" s="56"/>
      <c r="M19" s="120">
        <v>9.7799999999999994</v>
      </c>
      <c r="N19" s="61"/>
      <c r="O19" s="71"/>
      <c r="P19" s="56"/>
      <c r="Q19" s="71"/>
      <c r="R19" s="53"/>
      <c r="S19" s="56"/>
      <c r="T19" s="75"/>
      <c r="U19" s="71"/>
      <c r="V19" s="154" t="s">
        <v>215</v>
      </c>
      <c r="W19" s="155">
        <v>12</v>
      </c>
      <c r="X19" s="53"/>
      <c r="Y19" s="115" t="s">
        <v>216</v>
      </c>
      <c r="Z19" s="116" t="s">
        <v>217</v>
      </c>
      <c r="AA19" s="117"/>
    </row>
    <row r="20" spans="2:27">
      <c r="B20" s="53"/>
      <c r="C20" s="53"/>
      <c r="D20" s="77"/>
      <c r="E20" s="78"/>
      <c r="F20" s="76"/>
      <c r="G20" s="68"/>
      <c r="H20" s="56"/>
      <c r="I20" s="75"/>
      <c r="J20" s="71"/>
      <c r="K20" s="56"/>
      <c r="L20" s="56"/>
      <c r="M20" s="120">
        <v>15.32</v>
      </c>
      <c r="N20" s="61"/>
      <c r="O20" s="71"/>
      <c r="P20" s="56"/>
      <c r="Q20" s="71"/>
      <c r="R20" s="53"/>
      <c r="S20" s="56"/>
      <c r="T20" s="75"/>
      <c r="U20" s="71"/>
      <c r="V20" s="154" t="s">
        <v>218</v>
      </c>
      <c r="W20" s="156">
        <v>8</v>
      </c>
      <c r="X20" s="53"/>
      <c r="Y20" s="100" t="s">
        <v>161</v>
      </c>
      <c r="Z20" s="101" t="s">
        <v>219</v>
      </c>
      <c r="AA20" s="102"/>
    </row>
    <row r="21" spans="2:27">
      <c r="B21" s="53"/>
      <c r="C21" s="53"/>
      <c r="D21" s="77"/>
      <c r="E21" s="78"/>
      <c r="F21" s="76"/>
      <c r="G21" s="68"/>
      <c r="H21" s="56"/>
      <c r="I21" s="75"/>
      <c r="J21" s="71"/>
      <c r="K21" s="56"/>
      <c r="L21" s="56"/>
      <c r="M21" s="120">
        <v>0.57999999999999996</v>
      </c>
      <c r="N21" s="61"/>
      <c r="O21" s="71"/>
      <c r="P21" s="56"/>
      <c r="Q21" s="71"/>
      <c r="R21" s="53"/>
      <c r="S21" s="56"/>
      <c r="T21" s="75"/>
      <c r="U21" s="71"/>
      <c r="V21" s="53"/>
      <c r="W21" s="70"/>
      <c r="X21" s="53"/>
      <c r="Y21" s="103" t="s">
        <v>220</v>
      </c>
      <c r="Z21" s="104"/>
      <c r="AA21" s="105"/>
    </row>
    <row r="22" spans="2:27">
      <c r="B22" s="53"/>
      <c r="C22" s="53"/>
      <c r="D22" s="77"/>
      <c r="E22" s="78"/>
      <c r="F22" s="76"/>
      <c r="G22" s="68"/>
      <c r="H22" s="56"/>
      <c r="I22" s="75"/>
      <c r="J22" s="71"/>
      <c r="K22" s="56"/>
      <c r="L22" s="56"/>
      <c r="M22" s="120">
        <v>10.119999999999999</v>
      </c>
      <c r="N22" s="61"/>
      <c r="O22" s="71"/>
      <c r="P22" s="56"/>
      <c r="Q22" s="71"/>
      <c r="R22" s="53"/>
      <c r="S22" s="56"/>
      <c r="T22" s="75"/>
      <c r="U22" s="71"/>
      <c r="V22" s="53"/>
      <c r="W22" s="70"/>
      <c r="X22" s="53"/>
      <c r="Y22" s="100" t="s">
        <v>162</v>
      </c>
      <c r="Z22" s="101"/>
      <c r="AA22" s="102"/>
    </row>
    <row r="23" spans="2:27">
      <c r="B23" s="53"/>
      <c r="C23" s="53"/>
      <c r="D23" s="77"/>
      <c r="E23" s="68"/>
      <c r="F23" s="74"/>
      <c r="G23" s="68"/>
      <c r="H23" s="56"/>
      <c r="I23" s="75"/>
      <c r="J23" s="71"/>
      <c r="K23" s="56"/>
      <c r="L23" s="56"/>
      <c r="M23" s="120">
        <v>1.74</v>
      </c>
      <c r="N23" s="61"/>
      <c r="O23" s="71"/>
      <c r="P23" s="56"/>
      <c r="Q23" s="71"/>
      <c r="R23" s="53"/>
      <c r="S23" s="56"/>
      <c r="T23" s="75"/>
      <c r="U23" s="71"/>
      <c r="V23" s="53"/>
      <c r="W23" s="70"/>
      <c r="X23" s="53"/>
      <c r="Y23" s="103" t="s">
        <v>221</v>
      </c>
      <c r="Z23" s="104"/>
      <c r="AA23" s="105"/>
    </row>
    <row r="24" spans="2:27">
      <c r="B24" s="53"/>
      <c r="C24" s="53"/>
      <c r="D24" s="77"/>
      <c r="E24" s="68"/>
      <c r="F24" s="74"/>
      <c r="G24" s="68"/>
      <c r="H24" s="56"/>
      <c r="I24" s="75"/>
      <c r="J24" s="71"/>
      <c r="K24" s="56"/>
      <c r="L24" s="56"/>
      <c r="M24" s="120">
        <v>6.92</v>
      </c>
      <c r="N24" s="61"/>
      <c r="O24" s="71"/>
      <c r="P24" s="56"/>
      <c r="Q24" s="71"/>
      <c r="R24" s="53"/>
      <c r="S24" s="56"/>
      <c r="T24" s="75"/>
      <c r="U24" s="71"/>
      <c r="V24" s="53"/>
      <c r="W24" s="70"/>
      <c r="X24" s="53"/>
      <c r="Y24" s="107" t="s">
        <v>222</v>
      </c>
      <c r="Z24" s="108"/>
      <c r="AA24" s="109"/>
    </row>
    <row r="25" spans="2:27">
      <c r="B25" s="53"/>
      <c r="C25" s="53"/>
      <c r="D25" s="77"/>
      <c r="E25" s="68"/>
      <c r="F25" s="74"/>
      <c r="G25" s="68"/>
      <c r="H25" s="56"/>
      <c r="I25" s="75"/>
      <c r="J25" s="71"/>
      <c r="K25" s="56"/>
      <c r="L25" s="56"/>
      <c r="M25" s="120"/>
      <c r="N25" s="61"/>
      <c r="O25" s="71"/>
      <c r="P25" s="56"/>
      <c r="Q25" s="71"/>
      <c r="R25" s="53"/>
      <c r="S25" s="56"/>
      <c r="T25" s="75"/>
      <c r="U25" s="71"/>
      <c r="V25" s="53"/>
      <c r="W25" s="70"/>
      <c r="X25" s="53"/>
      <c r="Y25" s="100" t="s">
        <v>163</v>
      </c>
      <c r="Z25" s="101"/>
      <c r="AA25" s="102"/>
    </row>
    <row r="26" spans="2:27">
      <c r="B26" s="53"/>
      <c r="C26" s="53"/>
      <c r="D26" s="53"/>
      <c r="E26" s="68"/>
      <c r="F26" s="74"/>
      <c r="G26" s="68"/>
      <c r="H26" s="56"/>
      <c r="I26" s="75"/>
      <c r="J26" s="71"/>
      <c r="K26" s="56"/>
      <c r="L26" s="56"/>
      <c r="M26" s="120"/>
      <c r="N26" s="61"/>
      <c r="O26" s="71"/>
      <c r="P26" s="56"/>
      <c r="Q26" s="71"/>
      <c r="R26" s="53"/>
      <c r="S26" s="56"/>
      <c r="T26" s="75"/>
      <c r="U26" s="71"/>
      <c r="V26" s="53"/>
      <c r="W26" s="70"/>
      <c r="X26" s="53"/>
      <c r="Y26" s="103" t="s">
        <v>138</v>
      </c>
      <c r="Z26" s="106" t="s">
        <v>223</v>
      </c>
      <c r="AA26" s="105"/>
    </row>
    <row r="27" spans="2:27">
      <c r="B27" s="53"/>
      <c r="C27" s="53"/>
      <c r="D27" s="53"/>
      <c r="E27" s="68"/>
      <c r="F27" s="74"/>
      <c r="G27" s="68"/>
      <c r="H27" s="56"/>
      <c r="I27" s="75"/>
      <c r="J27" s="71"/>
      <c r="K27" s="56"/>
      <c r="L27" s="56"/>
      <c r="M27" s="120"/>
      <c r="N27" s="61"/>
      <c r="O27" s="71"/>
      <c r="P27" s="56"/>
      <c r="Q27" s="71"/>
      <c r="R27" s="53"/>
      <c r="S27" s="56"/>
      <c r="T27" s="75"/>
      <c r="U27" s="71"/>
      <c r="V27" s="53"/>
      <c r="W27" s="70"/>
      <c r="X27" s="53"/>
      <c r="Y27" s="103" t="s">
        <v>224</v>
      </c>
      <c r="Z27" s="104" t="s">
        <v>225</v>
      </c>
      <c r="AA27" s="105"/>
    </row>
    <row r="28" spans="2:27">
      <c r="B28" s="53"/>
      <c r="C28" s="53"/>
      <c r="D28" s="53"/>
      <c r="E28" s="68"/>
      <c r="F28" s="74"/>
      <c r="G28" s="68"/>
      <c r="H28" s="56"/>
      <c r="I28" s="75"/>
      <c r="J28" s="71"/>
      <c r="K28" s="56"/>
      <c r="L28" s="56"/>
      <c r="M28" s="120"/>
      <c r="N28" s="61"/>
      <c r="O28" s="71"/>
      <c r="P28" s="56"/>
      <c r="Q28" s="71"/>
      <c r="R28" s="53"/>
      <c r="S28" s="56"/>
      <c r="T28" s="75"/>
      <c r="U28" s="71"/>
      <c r="V28" s="53"/>
      <c r="W28" s="70"/>
      <c r="X28" s="53"/>
      <c r="Y28" s="107" t="s">
        <v>226</v>
      </c>
      <c r="Z28" s="108"/>
      <c r="AA28" s="109"/>
    </row>
    <row r="29" spans="2:27">
      <c r="B29" s="53"/>
      <c r="C29" s="53"/>
      <c r="D29" s="53"/>
      <c r="E29" s="68"/>
      <c r="F29" s="74"/>
      <c r="G29" s="68"/>
      <c r="H29" s="56"/>
      <c r="I29" s="75"/>
      <c r="J29" s="71"/>
      <c r="K29" s="56"/>
      <c r="L29" s="56"/>
      <c r="M29" s="120"/>
      <c r="N29" s="61"/>
      <c r="O29" s="71"/>
      <c r="P29" s="56"/>
      <c r="Q29" s="71"/>
      <c r="R29" s="53"/>
      <c r="S29" s="56"/>
      <c r="T29" s="75"/>
      <c r="U29" s="71"/>
      <c r="V29" s="53"/>
      <c r="W29" s="70"/>
      <c r="X29" s="53"/>
      <c r="Y29" s="53"/>
    </row>
    <row r="30" spans="2:27">
      <c r="B30" s="53"/>
      <c r="C30" s="53"/>
      <c r="D30" s="53"/>
      <c r="E30" s="68"/>
      <c r="F30" s="74"/>
      <c r="G30" s="68"/>
      <c r="H30" s="56"/>
      <c r="I30" s="75"/>
      <c r="J30" s="71"/>
      <c r="K30" s="56"/>
      <c r="L30" s="56"/>
      <c r="M30" s="120"/>
      <c r="N30" s="61"/>
      <c r="O30" s="71"/>
      <c r="P30" s="56"/>
      <c r="Q30" s="71"/>
      <c r="R30" s="53"/>
      <c r="S30" s="56"/>
      <c r="T30" s="75"/>
      <c r="U30" s="71"/>
      <c r="V30" s="53"/>
      <c r="W30" s="70"/>
      <c r="X30" s="53"/>
      <c r="Y30" s="53"/>
    </row>
    <row r="31" spans="2:27">
      <c r="B31" s="53"/>
      <c r="C31" s="53"/>
      <c r="D31" s="53"/>
      <c r="E31" s="68"/>
      <c r="F31" s="74"/>
      <c r="G31" s="68"/>
      <c r="H31" s="56"/>
      <c r="I31" s="75"/>
      <c r="J31" s="71"/>
      <c r="K31" s="56"/>
      <c r="L31" s="56"/>
      <c r="M31" s="120"/>
      <c r="N31" s="61"/>
      <c r="O31" s="71"/>
      <c r="P31" s="56"/>
      <c r="Q31" s="71"/>
      <c r="R31" s="53"/>
      <c r="S31" s="56"/>
      <c r="T31" s="75"/>
      <c r="U31" s="71"/>
      <c r="V31" s="53"/>
      <c r="W31" s="70"/>
      <c r="X31" s="53"/>
      <c r="Y31" s="53"/>
    </row>
    <row r="32" spans="2:27">
      <c r="B32" s="53"/>
      <c r="C32" s="53"/>
      <c r="D32" s="53"/>
      <c r="E32" s="68"/>
      <c r="F32" s="74"/>
      <c r="G32" s="68"/>
      <c r="H32" s="56"/>
      <c r="I32" s="75"/>
      <c r="J32" s="71"/>
      <c r="K32" s="56"/>
      <c r="L32" s="56"/>
      <c r="M32" s="120"/>
      <c r="N32" s="61"/>
      <c r="O32" s="71"/>
      <c r="P32" s="56"/>
      <c r="Q32" s="71"/>
      <c r="R32" s="53"/>
      <c r="S32" s="56"/>
      <c r="T32" s="75"/>
      <c r="U32" s="71"/>
      <c r="V32" s="53"/>
      <c r="W32" s="70"/>
      <c r="X32" s="53"/>
      <c r="Y32" s="53"/>
    </row>
    <row r="33" spans="2:27">
      <c r="B33" s="53"/>
      <c r="C33" s="53"/>
      <c r="D33" s="53"/>
      <c r="E33" s="68" t="s">
        <v>227</v>
      </c>
      <c r="F33" s="62">
        <f>SUM(F8:F32)</f>
        <v>1406.21</v>
      </c>
      <c r="G33" s="68"/>
      <c r="H33" s="56"/>
      <c r="I33" s="75"/>
      <c r="J33" s="71"/>
      <c r="K33" s="56"/>
      <c r="L33" s="56"/>
      <c r="M33" s="120"/>
      <c r="N33" s="61"/>
      <c r="O33" s="71"/>
      <c r="P33" s="56"/>
      <c r="Q33" s="71"/>
      <c r="R33" s="53"/>
      <c r="S33" s="56"/>
      <c r="T33" s="75"/>
      <c r="U33" s="71"/>
      <c r="V33" s="53"/>
      <c r="W33" s="70"/>
      <c r="X33" s="53"/>
      <c r="Y33" s="53"/>
      <c r="AA33" s="112"/>
    </row>
    <row r="34" spans="2:27">
      <c r="B34" s="53"/>
      <c r="C34" s="53"/>
      <c r="D34" s="53"/>
      <c r="E34" s="68" t="s">
        <v>228</v>
      </c>
      <c r="F34" s="113">
        <v>400</v>
      </c>
      <c r="G34" s="68"/>
      <c r="H34" s="56"/>
      <c r="I34" s="75"/>
      <c r="J34" s="71"/>
      <c r="K34" s="56"/>
      <c r="L34" s="56"/>
      <c r="M34" s="120"/>
      <c r="N34" s="61"/>
      <c r="O34" s="71"/>
      <c r="P34" s="56"/>
      <c r="Q34" s="71"/>
      <c r="R34" s="53"/>
      <c r="S34" s="56"/>
      <c r="T34" s="75"/>
      <c r="U34" s="71"/>
      <c r="V34" s="53"/>
      <c r="W34" s="70"/>
      <c r="X34" s="53"/>
      <c r="Y34" s="53"/>
      <c r="AA34" s="112"/>
    </row>
    <row r="35" spans="2:27">
      <c r="B35" s="53"/>
      <c r="C35" s="53"/>
      <c r="D35" s="53"/>
      <c r="E35" s="122" t="s">
        <v>229</v>
      </c>
      <c r="F35" s="123">
        <f>F33-F34</f>
        <v>1006.21</v>
      </c>
      <c r="G35" s="68"/>
      <c r="H35" s="56"/>
      <c r="I35" s="75"/>
      <c r="J35" s="71"/>
      <c r="K35" s="56"/>
      <c r="L35" s="56"/>
      <c r="M35" s="120"/>
      <c r="N35" s="61"/>
      <c r="O35" s="71"/>
      <c r="P35" s="56"/>
      <c r="Q35" s="71"/>
      <c r="R35" s="53"/>
      <c r="S35" s="56"/>
      <c r="T35" s="75"/>
      <c r="U35" s="71"/>
      <c r="V35" s="53"/>
      <c r="W35" s="70"/>
      <c r="X35" s="53"/>
      <c r="Y35" s="53"/>
      <c r="AA35" s="112"/>
    </row>
    <row r="36" spans="2:27" ht="17.100000000000001" thickBot="1">
      <c r="B36" s="53"/>
      <c r="C36" s="53"/>
      <c r="D36" s="53"/>
      <c r="E36" s="124" t="s">
        <v>230</v>
      </c>
      <c r="F36" s="125">
        <f>F35-G38</f>
        <v>5.0100000000002183</v>
      </c>
      <c r="G36" s="555">
        <f>SUM(H9:H35)</f>
        <v>256.8</v>
      </c>
      <c r="H36" s="549"/>
      <c r="I36" s="440"/>
      <c r="J36" s="439">
        <f>SUM(J9:J35)</f>
        <v>265.78999999999996</v>
      </c>
      <c r="K36" s="580">
        <f>SUM(L9:L35)</f>
        <v>31.029999999999998</v>
      </c>
      <c r="L36" s="580"/>
      <c r="M36" s="121">
        <f>SUM(M9:M35)</f>
        <v>87.56</v>
      </c>
      <c r="N36" s="555">
        <f>SUM(O9:O35)</f>
        <v>35.97</v>
      </c>
      <c r="O36" s="556"/>
      <c r="P36" s="549">
        <f>SUM(Q9:Q35)</f>
        <v>63.209999999999994</v>
      </c>
      <c r="Q36" s="556"/>
      <c r="R36" s="549">
        <f>SUM(S9:S35)</f>
        <v>0</v>
      </c>
      <c r="S36" s="549"/>
      <c r="T36" s="557">
        <f>SUM(U9:U35)</f>
        <v>36.340000000000003</v>
      </c>
      <c r="U36" s="556"/>
      <c r="V36" s="549">
        <f>SUM(W9:W35)</f>
        <v>224.5</v>
      </c>
      <c r="W36" s="551"/>
      <c r="X36" s="53"/>
      <c r="Y36" s="53"/>
      <c r="AA36" s="112"/>
    </row>
    <row r="37" spans="2:27" ht="17.100000000000001" thickBot="1">
      <c r="B37" s="53"/>
      <c r="C37" s="53"/>
      <c r="D37" s="53"/>
      <c r="E37" s="56"/>
      <c r="F37" s="62"/>
      <c r="G37" s="575">
        <f>SUM(G36,J36,K36,M36)</f>
        <v>641.17999999999984</v>
      </c>
      <c r="H37" s="576"/>
      <c r="I37" s="576"/>
      <c r="J37" s="576"/>
      <c r="K37" s="576"/>
      <c r="L37" s="576"/>
      <c r="M37" s="576"/>
      <c r="N37" s="575">
        <f>SUM(N36:W36)</f>
        <v>360.02</v>
      </c>
      <c r="O37" s="576"/>
      <c r="P37" s="576"/>
      <c r="Q37" s="576"/>
      <c r="R37" s="576"/>
      <c r="S37" s="576"/>
      <c r="T37" s="576"/>
      <c r="U37" s="576"/>
      <c r="V37" s="576"/>
      <c r="W37" s="577"/>
      <c r="X37" s="53"/>
      <c r="Y37" s="53"/>
      <c r="AA37" s="112"/>
    </row>
    <row r="38" spans="2:27" ht="20.100000000000001" thickBot="1">
      <c r="B38" s="53"/>
      <c r="C38" s="53"/>
      <c r="D38" s="53"/>
      <c r="E38" s="53"/>
      <c r="F38" s="74"/>
      <c r="G38" s="578">
        <f>SUM(G37:W37)</f>
        <v>1001.1999999999998</v>
      </c>
      <c r="H38" s="578"/>
      <c r="I38" s="578"/>
      <c r="J38" s="578"/>
      <c r="K38" s="578"/>
      <c r="L38" s="578"/>
      <c r="M38" s="578"/>
      <c r="N38" s="578"/>
      <c r="O38" s="578"/>
      <c r="P38" s="578"/>
      <c r="Q38" s="578"/>
      <c r="R38" s="578"/>
      <c r="S38" s="578"/>
      <c r="T38" s="578"/>
      <c r="U38" s="578"/>
      <c r="V38" s="578"/>
      <c r="W38" s="579"/>
      <c r="X38" s="53"/>
      <c r="Y38" s="53"/>
      <c r="AA38" s="112"/>
    </row>
    <row r="39" spans="2:27" ht="17.100000000000001" thickBot="1">
      <c r="B39" s="53"/>
      <c r="C39" s="53"/>
      <c r="D39" s="53"/>
      <c r="E39" s="53"/>
      <c r="F39" s="84" t="s">
        <v>95</v>
      </c>
      <c r="G39" s="544"/>
      <c r="H39" s="545"/>
      <c r="I39" s="438"/>
      <c r="J39" s="438"/>
      <c r="K39" s="544"/>
      <c r="L39" s="545"/>
      <c r="M39" s="111"/>
      <c r="N39" s="547"/>
      <c r="O39" s="545"/>
      <c r="P39" s="543"/>
      <c r="Q39" s="545"/>
      <c r="R39" s="573"/>
      <c r="S39" s="574"/>
      <c r="T39" s="581"/>
      <c r="U39" s="574"/>
      <c r="V39" s="573"/>
      <c r="W39" s="574"/>
      <c r="X39" s="53"/>
      <c r="Y39" s="53"/>
    </row>
    <row r="40" spans="2:27" ht="17.100000000000001" thickBot="1"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/>
      <c r="O40" s="53"/>
      <c r="P40" s="53"/>
      <c r="Q40" s="53"/>
      <c r="R40" s="53"/>
      <c r="S40" s="53"/>
      <c r="T40" s="53"/>
      <c r="U40" s="53"/>
      <c r="V40" s="53"/>
      <c r="W40" s="53"/>
      <c r="X40" s="85"/>
      <c r="Y40" s="53"/>
    </row>
    <row r="41" spans="2:27"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6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spans="2:27"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6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6"/>
    </row>
    <row r="43" spans="2:27">
      <c r="G43" s="582" t="s">
        <v>231</v>
      </c>
      <c r="H43" s="582"/>
      <c r="I43" s="582"/>
      <c r="J43" s="582"/>
      <c r="K43" s="582"/>
      <c r="L43" s="582"/>
      <c r="M43" s="582"/>
      <c r="N43" s="582"/>
      <c r="Y43" s="53"/>
    </row>
    <row r="44" spans="2:27">
      <c r="G44" s="582"/>
      <c r="H44" s="582"/>
      <c r="I44" s="582"/>
      <c r="J44" s="582"/>
      <c r="K44" s="582"/>
      <c r="L44" s="582"/>
      <c r="M44" s="582"/>
      <c r="N44" s="582"/>
      <c r="Y44" s="53"/>
    </row>
    <row r="45" spans="2:27">
      <c r="G45" s="582"/>
      <c r="H45" s="582"/>
      <c r="I45" s="582"/>
      <c r="J45" s="582"/>
      <c r="K45" s="582"/>
      <c r="L45" s="582"/>
      <c r="M45" s="582"/>
      <c r="N45" s="582"/>
    </row>
  </sheetData>
  <mergeCells count="31">
    <mergeCell ref="B5:C5"/>
    <mergeCell ref="E5:W5"/>
    <mergeCell ref="E6:F6"/>
    <mergeCell ref="G6:M6"/>
    <mergeCell ref="G7:H7"/>
    <mergeCell ref="K7:L7"/>
    <mergeCell ref="N7:O7"/>
    <mergeCell ref="R7:S7"/>
    <mergeCell ref="V7:W7"/>
    <mergeCell ref="T7:U7"/>
    <mergeCell ref="N6:W6"/>
    <mergeCell ref="G43:N45"/>
    <mergeCell ref="K39:L39"/>
    <mergeCell ref="N39:O39"/>
    <mergeCell ref="P7:Q7"/>
    <mergeCell ref="G39:H39"/>
    <mergeCell ref="P36:Q36"/>
    <mergeCell ref="I7:J7"/>
    <mergeCell ref="R39:S39"/>
    <mergeCell ref="V39:W39"/>
    <mergeCell ref="G37:M37"/>
    <mergeCell ref="N37:W37"/>
    <mergeCell ref="G36:H36"/>
    <mergeCell ref="N36:O36"/>
    <mergeCell ref="R36:S36"/>
    <mergeCell ref="V36:W36"/>
    <mergeCell ref="G38:W38"/>
    <mergeCell ref="K36:L36"/>
    <mergeCell ref="T36:U36"/>
    <mergeCell ref="P39:Q39"/>
    <mergeCell ref="T39:U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FA6D-8153-A74F-A235-888280BB93AF}">
  <sheetPr>
    <tabColor rgb="FFD1C1AB"/>
  </sheetPr>
  <dimension ref="C4:AB46"/>
  <sheetViews>
    <sheetView topLeftCell="P11" zoomScale="75" workbookViewId="0">
      <selection activeCell="W10" sqref="W10"/>
    </sheetView>
  </sheetViews>
  <sheetFormatPr defaultColWidth="11" defaultRowHeight="15.95"/>
  <cols>
    <col min="5" max="5" width="12.875" customWidth="1"/>
    <col min="6" max="6" width="18.625" customWidth="1"/>
    <col min="7" max="7" width="13.5" customWidth="1"/>
    <col min="8" max="8" width="23.625" customWidth="1"/>
    <col min="9" max="9" width="12" customWidth="1"/>
    <col min="10" max="10" width="28.625" bestFit="1" customWidth="1"/>
    <col min="11" max="11" width="14.125" customWidth="1"/>
    <col min="12" max="12" width="17.625" customWidth="1"/>
    <col min="13" max="13" width="14.125" customWidth="1"/>
    <col min="14" max="14" width="13.375" customWidth="1"/>
    <col min="15" max="15" width="21.5" customWidth="1"/>
    <col min="16" max="16" width="16.625" customWidth="1"/>
    <col min="17" max="17" width="19.625" customWidth="1"/>
    <col min="19" max="19" width="17.125" customWidth="1"/>
    <col min="20" max="20" width="15.5" customWidth="1"/>
    <col min="21" max="21" width="17.5" customWidth="1"/>
    <col min="22" max="22" width="20.125" customWidth="1"/>
    <col min="23" max="23" width="22" customWidth="1"/>
    <col min="26" max="26" width="16.125" customWidth="1"/>
    <col min="27" max="27" width="31.875" customWidth="1"/>
    <col min="28" max="28" width="43.125" customWidth="1"/>
  </cols>
  <sheetData>
    <row r="4" spans="3:28" ht="17.100000000000001" thickBot="1"/>
    <row r="5" spans="3:28" ht="17.100000000000001" thickBot="1">
      <c r="Z5" s="605" t="s">
        <v>232</v>
      </c>
      <c r="AA5" s="606"/>
      <c r="AB5" s="607"/>
    </row>
    <row r="6" spans="3:28" ht="21.95" thickBot="1">
      <c r="C6" s="484" t="s">
        <v>0</v>
      </c>
      <c r="D6" s="485"/>
      <c r="E6" s="456"/>
      <c r="F6" s="570" t="s">
        <v>233</v>
      </c>
      <c r="G6" s="571"/>
      <c r="H6" s="571"/>
      <c r="I6" s="571"/>
      <c r="J6" s="571"/>
      <c r="K6" s="571"/>
      <c r="L6" s="571"/>
      <c r="M6" s="571"/>
      <c r="N6" s="571"/>
      <c r="O6" s="571"/>
      <c r="P6" s="571"/>
      <c r="Q6" s="571"/>
      <c r="R6" s="571"/>
      <c r="S6" s="571"/>
      <c r="T6" s="571"/>
      <c r="U6" s="571"/>
      <c r="V6" s="571"/>
      <c r="W6" s="571"/>
      <c r="X6" s="572"/>
      <c r="Y6" s="53"/>
      <c r="Z6" s="133" t="s">
        <v>150</v>
      </c>
      <c r="AA6" s="89" t="s">
        <v>151</v>
      </c>
      <c r="AB6" s="134"/>
    </row>
    <row r="7" spans="3:28">
      <c r="C7" s="127" t="s">
        <v>1</v>
      </c>
      <c r="D7" s="128">
        <f>H38</f>
        <v>720.96</v>
      </c>
      <c r="E7" s="458"/>
      <c r="F7" s="587" t="s">
        <v>234</v>
      </c>
      <c r="G7" s="588"/>
      <c r="H7" s="589" t="s">
        <v>153</v>
      </c>
      <c r="I7" s="590"/>
      <c r="J7" s="590"/>
      <c r="K7" s="590"/>
      <c r="L7" s="590"/>
      <c r="M7" s="590"/>
      <c r="N7" s="590"/>
      <c r="O7" s="602" t="s">
        <v>154</v>
      </c>
      <c r="P7" s="603"/>
      <c r="Q7" s="603"/>
      <c r="R7" s="603"/>
      <c r="S7" s="603"/>
      <c r="T7" s="603"/>
      <c r="U7" s="603"/>
      <c r="V7" s="603"/>
      <c r="W7" s="603"/>
      <c r="X7" s="604"/>
      <c r="Y7" s="53"/>
      <c r="Z7" s="135" t="s">
        <v>36</v>
      </c>
      <c r="AA7" s="92" t="s">
        <v>155</v>
      </c>
      <c r="AB7" s="136"/>
    </row>
    <row r="8" spans="3:28">
      <c r="C8" s="129" t="s">
        <v>154</v>
      </c>
      <c r="D8" s="130">
        <f>O38</f>
        <v>363.46</v>
      </c>
      <c r="E8" s="56"/>
      <c r="F8" s="57" t="s">
        <v>6</v>
      </c>
      <c r="G8" s="58" t="s">
        <v>7</v>
      </c>
      <c r="H8" s="591" t="s">
        <v>156</v>
      </c>
      <c r="I8" s="586"/>
      <c r="J8" s="585" t="s">
        <v>157</v>
      </c>
      <c r="K8" s="586"/>
      <c r="L8" s="593" t="s">
        <v>158</v>
      </c>
      <c r="M8" s="594"/>
      <c r="N8" s="118" t="s">
        <v>9</v>
      </c>
      <c r="O8" s="595" t="s">
        <v>159</v>
      </c>
      <c r="P8" s="596"/>
      <c r="Q8" s="583" t="s">
        <v>160</v>
      </c>
      <c r="R8" s="584"/>
      <c r="S8" s="597" t="s">
        <v>161</v>
      </c>
      <c r="T8" s="597"/>
      <c r="U8" s="600" t="s">
        <v>162</v>
      </c>
      <c r="V8" s="601"/>
      <c r="W8" s="598" t="s">
        <v>163</v>
      </c>
      <c r="X8" s="599"/>
      <c r="Y8" s="53"/>
      <c r="Z8" s="135" t="s">
        <v>164</v>
      </c>
      <c r="AA8" s="92" t="s">
        <v>165</v>
      </c>
      <c r="AB8" s="136"/>
    </row>
    <row r="9" spans="3:28">
      <c r="C9" s="131" t="s">
        <v>227</v>
      </c>
      <c r="D9" s="132">
        <f>D7+D8</f>
        <v>1084.42</v>
      </c>
      <c r="E9" s="56"/>
      <c r="F9" s="61" t="s">
        <v>175</v>
      </c>
      <c r="G9" s="62">
        <v>5.01</v>
      </c>
      <c r="H9" s="448" t="s">
        <v>166</v>
      </c>
      <c r="I9" s="67" t="s">
        <v>7</v>
      </c>
      <c r="J9" s="448" t="s">
        <v>166</v>
      </c>
      <c r="K9" s="67" t="s">
        <v>7</v>
      </c>
      <c r="L9" s="64" t="s">
        <v>166</v>
      </c>
      <c r="M9" s="64" t="s">
        <v>7</v>
      </c>
      <c r="N9" s="119" t="s">
        <v>7</v>
      </c>
      <c r="O9" s="448" t="s">
        <v>166</v>
      </c>
      <c r="P9" s="67" t="s">
        <v>7</v>
      </c>
      <c r="Q9" s="64" t="s">
        <v>166</v>
      </c>
      <c r="R9" s="67" t="s">
        <v>7</v>
      </c>
      <c r="S9" s="64" t="s">
        <v>166</v>
      </c>
      <c r="T9" s="64" t="s">
        <v>7</v>
      </c>
      <c r="U9" s="87" t="s">
        <v>166</v>
      </c>
      <c r="V9" s="67" t="s">
        <v>7</v>
      </c>
      <c r="W9" s="64" t="s">
        <v>166</v>
      </c>
      <c r="X9" s="447" t="s">
        <v>7</v>
      </c>
      <c r="Y9" s="53"/>
      <c r="Z9" s="135" t="s">
        <v>42</v>
      </c>
      <c r="AA9" s="92"/>
      <c r="AB9" s="136"/>
    </row>
    <row r="10" spans="3:28">
      <c r="C10" s="59" t="s">
        <v>230</v>
      </c>
      <c r="D10" s="60">
        <f>G37</f>
        <v>372.27</v>
      </c>
      <c r="E10" s="56"/>
      <c r="F10" s="14" t="s">
        <v>13</v>
      </c>
      <c r="G10" s="62">
        <v>509.68</v>
      </c>
      <c r="H10" s="68" t="s">
        <v>167</v>
      </c>
      <c r="I10" s="71">
        <v>175</v>
      </c>
      <c r="J10" s="68" t="s">
        <v>42</v>
      </c>
      <c r="K10" s="71">
        <v>40.04</v>
      </c>
      <c r="L10" s="435" t="s">
        <v>235</v>
      </c>
      <c r="M10" s="435">
        <v>1.55</v>
      </c>
      <c r="N10" s="120">
        <v>3.91</v>
      </c>
      <c r="O10" s="61" t="s">
        <v>236</v>
      </c>
      <c r="P10" s="71">
        <v>10</v>
      </c>
      <c r="Q10" s="56" t="s">
        <v>187</v>
      </c>
      <c r="R10" s="56">
        <v>12.5</v>
      </c>
      <c r="S10" s="69" t="s">
        <v>237</v>
      </c>
      <c r="T10" s="71">
        <v>8</v>
      </c>
      <c r="U10" s="159" t="s">
        <v>238</v>
      </c>
      <c r="V10" s="158">
        <v>209.93</v>
      </c>
      <c r="W10" s="53" t="s">
        <v>239</v>
      </c>
      <c r="X10" s="70">
        <v>4</v>
      </c>
      <c r="Y10" s="53"/>
      <c r="Z10" s="135" t="s">
        <v>173</v>
      </c>
      <c r="AA10" s="92" t="s">
        <v>174</v>
      </c>
      <c r="AB10" s="136"/>
    </row>
    <row r="11" spans="3:28">
      <c r="C11" s="72"/>
      <c r="D11" s="126"/>
      <c r="E11" s="56"/>
      <c r="F11" s="61" t="s">
        <v>133</v>
      </c>
      <c r="G11" s="62">
        <v>195</v>
      </c>
      <c r="H11" s="68" t="s">
        <v>240</v>
      </c>
      <c r="I11" s="71">
        <v>35</v>
      </c>
      <c r="J11" s="68" t="s">
        <v>241</v>
      </c>
      <c r="K11" s="71">
        <v>73.459999999999994</v>
      </c>
      <c r="L11" s="56" t="s">
        <v>242</v>
      </c>
      <c r="M11" s="56">
        <v>9.18</v>
      </c>
      <c r="N11" s="120">
        <v>4.75</v>
      </c>
      <c r="O11" s="61" t="s">
        <v>243</v>
      </c>
      <c r="P11" s="71">
        <v>7.99</v>
      </c>
      <c r="Q11" s="56" t="s">
        <v>244</v>
      </c>
      <c r="R11" s="71">
        <v>6.4</v>
      </c>
      <c r="S11" s="53" t="s">
        <v>245</v>
      </c>
      <c r="T11" s="56">
        <v>3.79</v>
      </c>
      <c r="U11" s="75"/>
      <c r="V11" s="71"/>
      <c r="W11" s="53" t="s">
        <v>246</v>
      </c>
      <c r="X11" s="70">
        <v>10.14</v>
      </c>
      <c r="Y11" s="53"/>
      <c r="Z11" s="137" t="s">
        <v>140</v>
      </c>
      <c r="AA11" s="95" t="s">
        <v>183</v>
      </c>
      <c r="AB11" s="138"/>
    </row>
    <row r="12" spans="3:28">
      <c r="C12" s="53"/>
      <c r="D12" s="56"/>
      <c r="E12" s="56"/>
      <c r="F12" s="61" t="s">
        <v>247</v>
      </c>
      <c r="G12" s="113">
        <v>125</v>
      </c>
      <c r="H12" s="68" t="s">
        <v>185</v>
      </c>
      <c r="I12" s="71">
        <v>16.8</v>
      </c>
      <c r="J12" s="68" t="s">
        <v>248</v>
      </c>
      <c r="K12" s="71">
        <v>20.07</v>
      </c>
      <c r="L12" s="56" t="s">
        <v>249</v>
      </c>
      <c r="M12" s="56">
        <v>3.49</v>
      </c>
      <c r="N12" s="120">
        <v>5</v>
      </c>
      <c r="O12" s="61" t="s">
        <v>250</v>
      </c>
      <c r="P12" s="71">
        <v>3.09</v>
      </c>
      <c r="Q12" s="56" t="s">
        <v>251</v>
      </c>
      <c r="R12" s="71">
        <v>15.5</v>
      </c>
      <c r="S12" s="53"/>
      <c r="T12" s="56"/>
      <c r="U12" s="75"/>
      <c r="V12" s="71"/>
      <c r="W12" s="53" t="s">
        <v>252</v>
      </c>
      <c r="X12" s="70">
        <v>4</v>
      </c>
      <c r="Y12" s="53"/>
      <c r="Z12" s="133" t="s">
        <v>190</v>
      </c>
      <c r="AA12" s="97" t="s">
        <v>191</v>
      </c>
      <c r="AB12" s="134"/>
    </row>
    <row r="13" spans="3:28" ht="15.95" customHeight="1">
      <c r="C13" s="53"/>
      <c r="D13" s="53"/>
      <c r="E13" s="56"/>
      <c r="F13" s="61" t="s">
        <v>253</v>
      </c>
      <c r="G13" s="62">
        <v>22</v>
      </c>
      <c r="H13" s="68" t="s">
        <v>254</v>
      </c>
      <c r="I13" s="71">
        <v>10</v>
      </c>
      <c r="J13" s="56"/>
      <c r="K13" s="71"/>
      <c r="L13" s="56" t="s">
        <v>255</v>
      </c>
      <c r="M13" s="56">
        <v>0.42</v>
      </c>
      <c r="N13" s="120">
        <v>16.97</v>
      </c>
      <c r="O13" s="61" t="s">
        <v>256</v>
      </c>
      <c r="P13" s="71">
        <v>7.99</v>
      </c>
      <c r="Q13" s="56"/>
      <c r="R13" s="71"/>
      <c r="S13" s="53"/>
      <c r="T13" s="56"/>
      <c r="U13" s="75"/>
      <c r="V13" s="71"/>
      <c r="W13" s="53" t="s">
        <v>257</v>
      </c>
      <c r="X13" s="70">
        <v>10.130000000000001</v>
      </c>
      <c r="Y13" s="53"/>
      <c r="Z13" s="135" t="s">
        <v>195</v>
      </c>
      <c r="AA13" s="98" t="s">
        <v>196</v>
      </c>
      <c r="AB13" s="136"/>
    </row>
    <row r="14" spans="3:28">
      <c r="C14" s="53"/>
      <c r="D14" s="53"/>
      <c r="E14" s="458"/>
      <c r="F14" s="61"/>
      <c r="G14" s="62"/>
      <c r="H14" s="68" t="s">
        <v>258</v>
      </c>
      <c r="I14" s="71">
        <v>15</v>
      </c>
      <c r="J14" s="56"/>
      <c r="K14" s="71"/>
      <c r="L14" s="56" t="s">
        <v>259</v>
      </c>
      <c r="M14" s="56">
        <v>1.74</v>
      </c>
      <c r="N14" s="120">
        <v>5.53</v>
      </c>
      <c r="O14" s="61" t="s">
        <v>236</v>
      </c>
      <c r="P14" s="71">
        <v>20</v>
      </c>
      <c r="Q14" s="56"/>
      <c r="R14" s="71"/>
      <c r="S14" s="53"/>
      <c r="T14" s="56"/>
      <c r="U14" s="75"/>
      <c r="V14" s="71"/>
      <c r="W14" s="53"/>
      <c r="X14" s="70"/>
      <c r="Y14" s="53"/>
      <c r="Z14" s="135" t="s">
        <v>201</v>
      </c>
      <c r="AA14" s="98" t="s">
        <v>202</v>
      </c>
      <c r="AB14" s="136"/>
    </row>
    <row r="15" spans="3:28">
      <c r="C15" s="53"/>
      <c r="D15" s="53"/>
      <c r="E15" s="77"/>
      <c r="F15" s="61" t="s">
        <v>260</v>
      </c>
      <c r="G15" s="76">
        <v>600</v>
      </c>
      <c r="H15" s="68" t="s">
        <v>261</v>
      </c>
      <c r="I15" s="71">
        <v>37.5</v>
      </c>
      <c r="J15" s="56"/>
      <c r="K15" s="71"/>
      <c r="L15" s="435" t="s">
        <v>262</v>
      </c>
      <c r="M15" s="435">
        <v>4.04</v>
      </c>
      <c r="N15" s="120">
        <v>4.3499999999999996</v>
      </c>
      <c r="O15" s="61" t="s">
        <v>243</v>
      </c>
      <c r="P15" s="71">
        <v>10</v>
      </c>
      <c r="Q15" s="56"/>
      <c r="R15" s="71"/>
      <c r="S15" s="53"/>
      <c r="T15" s="56"/>
      <c r="U15" s="75"/>
      <c r="V15" s="71"/>
      <c r="W15" s="53"/>
      <c r="X15" s="70"/>
      <c r="Y15" s="53"/>
      <c r="Z15" s="135" t="s">
        <v>204</v>
      </c>
      <c r="AA15" s="98" t="s">
        <v>205</v>
      </c>
      <c r="AB15" s="136"/>
    </row>
    <row r="16" spans="3:28">
      <c r="C16" s="53"/>
      <c r="D16" s="53"/>
      <c r="E16" s="77"/>
      <c r="F16" s="78"/>
      <c r="G16" s="76"/>
      <c r="H16" s="68"/>
      <c r="I16" s="71"/>
      <c r="J16" s="157" t="s">
        <v>263</v>
      </c>
      <c r="K16" s="158">
        <v>30</v>
      </c>
      <c r="L16" s="56" t="s">
        <v>264</v>
      </c>
      <c r="M16" s="56">
        <v>4.2300000000000004</v>
      </c>
      <c r="N16" s="120">
        <v>13.66</v>
      </c>
      <c r="O16" s="61" t="s">
        <v>265</v>
      </c>
      <c r="P16" s="71">
        <v>20</v>
      </c>
      <c r="Q16" s="56"/>
      <c r="R16" s="71"/>
      <c r="S16" s="53"/>
      <c r="T16" s="56"/>
      <c r="U16" s="75"/>
      <c r="V16" s="71"/>
      <c r="W16" s="53"/>
      <c r="X16" s="70"/>
      <c r="Y16" s="53"/>
      <c r="Z16" s="137" t="s">
        <v>208</v>
      </c>
      <c r="AA16" s="99" t="s">
        <v>209</v>
      </c>
      <c r="AB16" s="138"/>
    </row>
    <row r="17" spans="3:28">
      <c r="C17" s="53"/>
      <c r="D17" s="53"/>
      <c r="E17" s="77"/>
      <c r="F17" s="78"/>
      <c r="G17" s="76"/>
      <c r="H17" s="68"/>
      <c r="I17" s="71"/>
      <c r="J17" s="56"/>
      <c r="K17" s="71"/>
      <c r="L17" s="435" t="s">
        <v>266</v>
      </c>
      <c r="M17" s="435">
        <v>17</v>
      </c>
      <c r="N17" s="120">
        <v>5.66</v>
      </c>
      <c r="O17" s="61"/>
      <c r="P17" s="71"/>
      <c r="Q17" s="56"/>
      <c r="R17" s="71"/>
      <c r="S17" s="53"/>
      <c r="T17" s="56"/>
      <c r="U17" s="75"/>
      <c r="V17" s="71"/>
      <c r="W17" s="53"/>
      <c r="X17" s="70"/>
      <c r="Y17" s="53"/>
      <c r="Z17" s="133" t="s">
        <v>9</v>
      </c>
      <c r="AA17" s="89" t="s">
        <v>210</v>
      </c>
      <c r="AB17" s="134"/>
    </row>
    <row r="18" spans="3:28">
      <c r="C18" s="53"/>
      <c r="D18" s="53"/>
      <c r="E18" s="77"/>
      <c r="F18" s="61"/>
      <c r="G18" s="62"/>
      <c r="H18" s="157" t="s">
        <v>267</v>
      </c>
      <c r="I18" s="158"/>
      <c r="J18" s="56"/>
      <c r="K18" s="71"/>
      <c r="L18" s="56"/>
      <c r="M18" s="56"/>
      <c r="N18" s="120">
        <v>2.99</v>
      </c>
      <c r="O18" s="61"/>
      <c r="P18" s="71"/>
      <c r="Q18" s="56"/>
      <c r="R18" s="71"/>
      <c r="S18" s="53"/>
      <c r="T18" s="56"/>
      <c r="U18" s="75"/>
      <c r="V18" s="71"/>
      <c r="W18" s="53"/>
      <c r="X18" s="70"/>
      <c r="Y18" s="53"/>
      <c r="Z18" s="135" t="s">
        <v>36</v>
      </c>
      <c r="AA18" s="98" t="s">
        <v>212</v>
      </c>
      <c r="AB18" s="136"/>
    </row>
    <row r="19" spans="3:28">
      <c r="C19" s="53"/>
      <c r="D19" s="56"/>
      <c r="E19" s="56"/>
      <c r="F19" s="79"/>
      <c r="G19" s="80"/>
      <c r="H19" s="68"/>
      <c r="I19" s="71"/>
      <c r="J19" s="157" t="s">
        <v>268</v>
      </c>
      <c r="K19" s="158">
        <v>268.08999999999997</v>
      </c>
      <c r="L19" s="56" t="s">
        <v>269</v>
      </c>
      <c r="M19" s="56">
        <v>3</v>
      </c>
      <c r="N19" s="120">
        <v>3.99</v>
      </c>
      <c r="O19" s="61"/>
      <c r="P19" s="71"/>
      <c r="Q19" s="56"/>
      <c r="R19" s="71"/>
      <c r="S19" s="53"/>
      <c r="T19" s="56"/>
      <c r="U19" s="75"/>
      <c r="V19" s="71"/>
      <c r="W19" s="53"/>
      <c r="X19" s="70"/>
      <c r="Y19" s="53"/>
      <c r="Z19" s="139" t="s">
        <v>159</v>
      </c>
      <c r="AA19" s="114" t="s">
        <v>214</v>
      </c>
      <c r="AB19" s="140"/>
    </row>
    <row r="20" spans="3:28">
      <c r="C20" s="53"/>
      <c r="D20" s="56"/>
      <c r="E20" s="458"/>
      <c r="F20" s="78"/>
      <c r="G20" s="76"/>
      <c r="H20" s="68"/>
      <c r="I20" s="71"/>
      <c r="J20" s="56"/>
      <c r="K20" s="71"/>
      <c r="L20" s="56"/>
      <c r="M20" s="56"/>
      <c r="N20" s="120">
        <v>4.13</v>
      </c>
      <c r="O20" s="61"/>
      <c r="P20" s="71"/>
      <c r="Q20" s="56"/>
      <c r="R20" s="71"/>
      <c r="S20" s="53"/>
      <c r="T20" s="56"/>
      <c r="U20" s="75"/>
      <c r="V20" s="71"/>
      <c r="W20" s="53"/>
      <c r="X20" s="70"/>
      <c r="Y20" s="53"/>
      <c r="Z20" s="141" t="s">
        <v>216</v>
      </c>
      <c r="AA20" s="116" t="s">
        <v>217</v>
      </c>
      <c r="AB20" s="142"/>
    </row>
    <row r="21" spans="3:28">
      <c r="C21" s="53"/>
      <c r="D21" s="53"/>
      <c r="E21" s="77"/>
      <c r="F21" s="78"/>
      <c r="G21" s="76"/>
      <c r="H21" s="68"/>
      <c r="I21" s="71"/>
      <c r="J21" s="56"/>
      <c r="K21" s="71"/>
      <c r="L21" s="56"/>
      <c r="M21" s="56"/>
      <c r="N21" s="120">
        <v>2.44</v>
      </c>
      <c r="O21" s="61"/>
      <c r="P21" s="71"/>
      <c r="Q21" s="56"/>
      <c r="R21" s="71"/>
      <c r="S21" s="53"/>
      <c r="T21" s="56"/>
      <c r="U21" s="75"/>
      <c r="V21" s="71"/>
      <c r="W21" s="53"/>
      <c r="X21" s="81"/>
      <c r="Y21" s="53"/>
      <c r="Z21" s="139" t="s">
        <v>161</v>
      </c>
      <c r="AA21" s="101" t="s">
        <v>219</v>
      </c>
      <c r="AB21" s="140"/>
    </row>
    <row r="22" spans="3:28">
      <c r="C22" s="53"/>
      <c r="D22" s="53"/>
      <c r="E22" s="77"/>
      <c r="F22" s="78"/>
      <c r="G22" s="76"/>
      <c r="H22" s="68"/>
      <c r="I22" s="71"/>
      <c r="J22" s="56"/>
      <c r="K22" s="71"/>
      <c r="L22" s="56"/>
      <c r="M22" s="56"/>
      <c r="N22" s="120">
        <v>1.8</v>
      </c>
      <c r="O22" s="61"/>
      <c r="P22" s="71"/>
      <c r="Q22" s="56"/>
      <c r="R22" s="71"/>
      <c r="S22" s="53"/>
      <c r="T22" s="56"/>
      <c r="U22" s="75"/>
      <c r="V22" s="71"/>
      <c r="W22" s="53"/>
      <c r="X22" s="70"/>
      <c r="Y22" s="53"/>
      <c r="Z22" s="143" t="s">
        <v>220</v>
      </c>
      <c r="AA22" s="104"/>
      <c r="AB22" s="144"/>
    </row>
    <row r="23" spans="3:28">
      <c r="C23" s="53"/>
      <c r="D23" s="53"/>
      <c r="E23" s="77"/>
      <c r="F23" s="78"/>
      <c r="G23" s="76"/>
      <c r="H23" s="68"/>
      <c r="I23" s="71"/>
      <c r="J23" s="56"/>
      <c r="K23" s="71"/>
      <c r="L23" s="56"/>
      <c r="M23" s="56"/>
      <c r="N23" s="120">
        <v>2.75</v>
      </c>
      <c r="O23" s="61"/>
      <c r="P23" s="71"/>
      <c r="Q23" s="56"/>
      <c r="R23" s="71"/>
      <c r="S23" s="53"/>
      <c r="T23" s="56"/>
      <c r="U23" s="75"/>
      <c r="V23" s="71"/>
      <c r="W23" s="53"/>
      <c r="X23" s="70"/>
      <c r="Y23" s="53"/>
      <c r="Z23" s="139" t="s">
        <v>162</v>
      </c>
      <c r="AA23" s="101"/>
      <c r="AB23" s="140"/>
    </row>
    <row r="24" spans="3:28">
      <c r="C24" s="53"/>
      <c r="D24" s="53"/>
      <c r="E24" s="77"/>
      <c r="F24" s="68"/>
      <c r="G24" s="74"/>
      <c r="H24" s="68"/>
      <c r="I24" s="71"/>
      <c r="J24" s="56"/>
      <c r="K24" s="71"/>
      <c r="L24" s="56"/>
      <c r="M24" s="56"/>
      <c r="N24" s="120">
        <v>1.71</v>
      </c>
      <c r="O24" s="61"/>
      <c r="P24" s="71"/>
      <c r="Q24" s="56"/>
      <c r="R24" s="71"/>
      <c r="S24" s="53"/>
      <c r="T24" s="56"/>
      <c r="U24" s="75"/>
      <c r="V24" s="71"/>
      <c r="W24" s="53"/>
      <c r="X24" s="70"/>
      <c r="Y24" s="53"/>
      <c r="Z24" s="143" t="s">
        <v>221</v>
      </c>
      <c r="AA24" s="104"/>
      <c r="AB24" s="144"/>
    </row>
    <row r="25" spans="3:28">
      <c r="C25" s="53"/>
      <c r="D25" s="53"/>
      <c r="E25" s="77"/>
      <c r="F25" s="68"/>
      <c r="G25" s="74"/>
      <c r="H25" s="68"/>
      <c r="I25" s="71"/>
      <c r="J25" s="56"/>
      <c r="K25" s="71"/>
      <c r="L25" s="56"/>
      <c r="M25" s="56"/>
      <c r="N25" s="120">
        <v>4.24</v>
      </c>
      <c r="O25" s="61"/>
      <c r="P25" s="71"/>
      <c r="Q25" s="56"/>
      <c r="R25" s="71"/>
      <c r="S25" s="53"/>
      <c r="T25" s="56"/>
      <c r="U25" s="75"/>
      <c r="V25" s="71"/>
      <c r="W25" s="53"/>
      <c r="X25" s="70"/>
      <c r="Y25" s="53"/>
      <c r="Z25" s="145" t="s">
        <v>222</v>
      </c>
      <c r="AA25" s="108"/>
      <c r="AB25" s="146"/>
    </row>
    <row r="26" spans="3:28">
      <c r="C26" s="53"/>
      <c r="D26" s="53"/>
      <c r="E26" s="77"/>
      <c r="F26" s="68"/>
      <c r="G26" s="74"/>
      <c r="H26" s="68"/>
      <c r="I26" s="71"/>
      <c r="J26" s="56"/>
      <c r="K26" s="71"/>
      <c r="L26" s="56"/>
      <c r="M26" s="56"/>
      <c r="N26" s="120">
        <v>30.43</v>
      </c>
      <c r="O26" s="61"/>
      <c r="P26" s="71"/>
      <c r="Q26" s="56"/>
      <c r="R26" s="71"/>
      <c r="S26" s="53"/>
      <c r="T26" s="56"/>
      <c r="U26" s="75"/>
      <c r="V26" s="71"/>
      <c r="W26" s="53"/>
      <c r="X26" s="70"/>
      <c r="Y26" s="53"/>
      <c r="Z26" s="139" t="s">
        <v>163</v>
      </c>
      <c r="AA26" s="101"/>
      <c r="AB26" s="140"/>
    </row>
    <row r="27" spans="3:28">
      <c r="C27" s="53"/>
      <c r="D27" s="53"/>
      <c r="E27" s="53"/>
      <c r="F27" s="68"/>
      <c r="G27" s="74"/>
      <c r="H27" s="68"/>
      <c r="I27" s="71"/>
      <c r="J27" s="56"/>
      <c r="K27" s="71"/>
      <c r="L27" s="56"/>
      <c r="M27" s="56"/>
      <c r="N27" s="120">
        <v>3.49</v>
      </c>
      <c r="O27" s="61"/>
      <c r="P27" s="71"/>
      <c r="Q27" s="56"/>
      <c r="R27" s="71"/>
      <c r="S27" s="53"/>
      <c r="T27" s="56"/>
      <c r="U27" s="75"/>
      <c r="V27" s="71"/>
      <c r="W27" s="53"/>
      <c r="X27" s="70"/>
      <c r="Y27" s="53"/>
      <c r="Z27" s="143" t="s">
        <v>138</v>
      </c>
      <c r="AA27" s="106" t="s">
        <v>223</v>
      </c>
      <c r="AB27" s="144"/>
    </row>
    <row r="28" spans="3:28">
      <c r="C28" s="53"/>
      <c r="D28" s="53"/>
      <c r="E28" s="53"/>
      <c r="F28" s="68"/>
      <c r="G28" s="74"/>
      <c r="H28" s="68"/>
      <c r="I28" s="71"/>
      <c r="J28" s="56"/>
      <c r="K28" s="71"/>
      <c r="L28" s="56"/>
      <c r="M28" s="56"/>
      <c r="N28" s="120">
        <v>12.11</v>
      </c>
      <c r="O28" s="61"/>
      <c r="P28" s="71"/>
      <c r="Q28" s="56"/>
      <c r="R28" s="71"/>
      <c r="S28" s="53"/>
      <c r="T28" s="56"/>
      <c r="U28" s="75"/>
      <c r="V28" s="71"/>
      <c r="W28" s="53"/>
      <c r="X28" s="70"/>
      <c r="Y28" s="53"/>
      <c r="Z28" s="143" t="s">
        <v>224</v>
      </c>
      <c r="AA28" s="104" t="s">
        <v>225</v>
      </c>
      <c r="AB28" s="144"/>
    </row>
    <row r="29" spans="3:28" ht="17.100000000000001" thickBot="1">
      <c r="C29" s="53"/>
      <c r="D29" s="53"/>
      <c r="E29" s="53"/>
      <c r="F29" s="68"/>
      <c r="G29" s="74"/>
      <c r="H29" s="68"/>
      <c r="I29" s="71"/>
      <c r="J29" s="56"/>
      <c r="K29" s="71"/>
      <c r="L29" s="56"/>
      <c r="M29" s="56"/>
      <c r="N29" s="120">
        <v>10.41</v>
      </c>
      <c r="O29" s="61"/>
      <c r="P29" s="71"/>
      <c r="Q29" s="56"/>
      <c r="R29" s="71"/>
      <c r="S29" s="53"/>
      <c r="T29" s="56"/>
      <c r="U29" s="75"/>
      <c r="V29" s="71"/>
      <c r="W29" s="53"/>
      <c r="X29" s="70"/>
      <c r="Y29" s="53"/>
      <c r="Z29" s="147" t="s">
        <v>226</v>
      </c>
      <c r="AA29" s="148"/>
      <c r="AB29" s="149"/>
    </row>
    <row r="30" spans="3:28">
      <c r="C30" s="53"/>
      <c r="D30" s="53"/>
      <c r="E30" s="53"/>
      <c r="F30" s="68"/>
      <c r="G30" s="74"/>
      <c r="H30" s="68"/>
      <c r="I30" s="71"/>
      <c r="J30" s="56"/>
      <c r="K30" s="71"/>
      <c r="L30" s="56"/>
      <c r="M30" s="56"/>
      <c r="N30" s="120">
        <v>5.67</v>
      </c>
      <c r="O30" s="61"/>
      <c r="P30" s="71"/>
      <c r="Q30" s="56"/>
      <c r="R30" s="71"/>
      <c r="S30" s="53"/>
      <c r="T30" s="56"/>
      <c r="U30" s="75"/>
      <c r="V30" s="71"/>
      <c r="W30" s="53"/>
      <c r="X30" s="70"/>
      <c r="Y30" s="53"/>
      <c r="Z30" s="53"/>
    </row>
    <row r="31" spans="3:28">
      <c r="C31" s="53"/>
      <c r="D31" s="53"/>
      <c r="E31" s="53"/>
      <c r="F31" s="68"/>
      <c r="G31" s="74"/>
      <c r="H31" s="68"/>
      <c r="I31" s="71"/>
      <c r="J31" s="56"/>
      <c r="K31" s="71"/>
      <c r="L31" s="56"/>
      <c r="M31" s="56"/>
      <c r="N31" s="120">
        <v>1.99</v>
      </c>
      <c r="O31" s="61"/>
      <c r="P31" s="71"/>
      <c r="Q31" s="56"/>
      <c r="R31" s="71"/>
      <c r="S31" s="53"/>
      <c r="T31" s="56"/>
      <c r="U31" s="75"/>
      <c r="V31" s="71"/>
      <c r="W31" s="53"/>
      <c r="X31" s="70"/>
      <c r="Y31" s="53"/>
      <c r="Z31" s="53"/>
    </row>
    <row r="32" spans="3:28">
      <c r="C32" s="53"/>
      <c r="D32" s="53"/>
      <c r="E32" s="53"/>
      <c r="F32" s="68" t="s">
        <v>227</v>
      </c>
      <c r="G32" s="62">
        <f>SUM(G9:G31)</f>
        <v>1456.69</v>
      </c>
      <c r="H32" s="68"/>
      <c r="I32" s="71"/>
      <c r="J32" s="56"/>
      <c r="K32" s="71"/>
      <c r="L32" s="56"/>
      <c r="M32" s="56"/>
      <c r="N32" s="120">
        <v>2.5</v>
      </c>
      <c r="O32" s="61"/>
      <c r="P32" s="71"/>
      <c r="Q32" s="56"/>
      <c r="R32" s="71"/>
      <c r="S32" s="53"/>
      <c r="T32" s="56"/>
      <c r="U32" s="75"/>
      <c r="V32" s="71"/>
      <c r="W32" s="53"/>
      <c r="X32" s="70"/>
      <c r="Y32" s="53"/>
      <c r="Z32" s="53"/>
    </row>
    <row r="33" spans="3:28">
      <c r="C33" s="53"/>
      <c r="D33" s="53"/>
      <c r="E33" s="53"/>
      <c r="F33" s="68" t="s">
        <v>228</v>
      </c>
      <c r="G33" s="62"/>
      <c r="H33" s="68"/>
      <c r="I33" s="71"/>
      <c r="J33" s="56"/>
      <c r="K33" s="71"/>
      <c r="L33" s="56"/>
      <c r="M33" s="56"/>
      <c r="N33" s="120">
        <v>3.5</v>
      </c>
      <c r="O33" s="61"/>
      <c r="P33" s="71"/>
      <c r="Q33" s="56"/>
      <c r="R33" s="71"/>
      <c r="S33" s="53"/>
      <c r="T33" s="56"/>
      <c r="U33" s="75"/>
      <c r="V33" s="71"/>
      <c r="W33" s="53"/>
      <c r="X33" s="70"/>
      <c r="Y33" s="53"/>
      <c r="Z33" s="53"/>
    </row>
    <row r="34" spans="3:28">
      <c r="C34" s="53"/>
      <c r="D34" s="53"/>
      <c r="E34" s="53"/>
      <c r="F34" s="68" t="s">
        <v>270</v>
      </c>
      <c r="G34" s="62"/>
      <c r="H34" s="68"/>
      <c r="I34" s="71"/>
      <c r="J34" s="56"/>
      <c r="K34" s="71"/>
      <c r="L34" s="56"/>
      <c r="M34" s="56"/>
      <c r="N34" s="120">
        <v>14.94</v>
      </c>
      <c r="O34" s="61"/>
      <c r="P34" s="71"/>
      <c r="Q34" s="56"/>
      <c r="R34" s="71"/>
      <c r="S34" s="53"/>
      <c r="T34" s="56"/>
      <c r="U34" s="75"/>
      <c r="V34" s="71"/>
      <c r="W34" s="53"/>
      <c r="X34" s="70"/>
      <c r="Y34" s="53"/>
      <c r="Z34" s="53"/>
      <c r="AB34" s="112"/>
    </row>
    <row r="35" spans="3:28">
      <c r="C35" s="53"/>
      <c r="D35" s="53"/>
      <c r="E35" s="53"/>
      <c r="F35" s="68" t="s">
        <v>271</v>
      </c>
      <c r="G35" s="113"/>
      <c r="H35" s="68"/>
      <c r="I35" s="71"/>
      <c r="J35" s="56"/>
      <c r="K35" s="71"/>
      <c r="L35" s="56"/>
      <c r="M35" s="56"/>
      <c r="N35" s="120">
        <v>11.7</v>
      </c>
      <c r="O35" s="61"/>
      <c r="P35" s="71"/>
      <c r="Q35" s="56"/>
      <c r="R35" s="71"/>
      <c r="S35" s="53"/>
      <c r="T35" s="56"/>
      <c r="U35" s="75"/>
      <c r="V35" s="71"/>
      <c r="W35" s="53"/>
      <c r="X35" s="70"/>
      <c r="Y35" s="53"/>
      <c r="Z35" s="53"/>
      <c r="AB35" s="112"/>
    </row>
    <row r="36" spans="3:28">
      <c r="C36" s="53"/>
      <c r="D36" s="53"/>
      <c r="E36" s="53"/>
      <c r="F36" s="122" t="s">
        <v>229</v>
      </c>
      <c r="G36" s="123">
        <f>G32-G33-G34-G35</f>
        <v>1456.69</v>
      </c>
      <c r="H36" s="68"/>
      <c r="I36" s="71"/>
      <c r="J36" s="56"/>
      <c r="K36" s="71"/>
      <c r="L36" s="56"/>
      <c r="M36" s="56"/>
      <c r="N36" s="120"/>
      <c r="O36" s="61"/>
      <c r="P36" s="71"/>
      <c r="Q36" s="56"/>
      <c r="R36" s="71"/>
      <c r="S36" s="53"/>
      <c r="T36" s="56"/>
      <c r="U36" s="75"/>
      <c r="V36" s="71"/>
      <c r="W36" s="53"/>
      <c r="X36" s="70"/>
      <c r="Y36" s="53"/>
      <c r="Z36" s="53"/>
      <c r="AB36" s="112"/>
    </row>
    <row r="37" spans="3:28" ht="17.100000000000001" thickBot="1">
      <c r="C37" s="53"/>
      <c r="D37" s="53"/>
      <c r="E37" s="53"/>
      <c r="F37" s="124" t="s">
        <v>230</v>
      </c>
      <c r="G37" s="125">
        <f>G36-H39</f>
        <v>372.27</v>
      </c>
      <c r="H37" s="555">
        <f>SUM(I10:I36)</f>
        <v>289.3</v>
      </c>
      <c r="I37" s="556"/>
      <c r="J37" s="557">
        <f>SUM(K10:K36)</f>
        <v>431.65999999999997</v>
      </c>
      <c r="K37" s="556"/>
      <c r="L37" s="580">
        <f>SUM(M10:M36)</f>
        <v>44.65</v>
      </c>
      <c r="M37" s="580"/>
      <c r="N37" s="121">
        <f>SUM(N10:N36)</f>
        <v>180.61999999999995</v>
      </c>
      <c r="O37" s="555">
        <f>SUM(P10:P36)</f>
        <v>79.069999999999993</v>
      </c>
      <c r="P37" s="556"/>
      <c r="Q37" s="549">
        <f>SUM(R10:R36)</f>
        <v>34.4</v>
      </c>
      <c r="R37" s="556"/>
      <c r="S37" s="549">
        <f>SUM(T10:T36)</f>
        <v>11.79</v>
      </c>
      <c r="T37" s="549"/>
      <c r="U37" s="557">
        <f>SUM(V10:V36)</f>
        <v>209.93</v>
      </c>
      <c r="V37" s="556"/>
      <c r="W37" s="549">
        <f>SUM(X10:X36)</f>
        <v>28.270000000000003</v>
      </c>
      <c r="X37" s="551"/>
      <c r="Y37" s="53"/>
      <c r="Z37" s="53"/>
      <c r="AB37" s="112"/>
    </row>
    <row r="38" spans="3:28" ht="17.100000000000001" thickBot="1">
      <c r="C38" s="53"/>
      <c r="D38" s="53"/>
      <c r="E38" s="53"/>
      <c r="F38" s="56"/>
      <c r="G38" s="62"/>
      <c r="H38" s="608">
        <f>SUM(H37,J37)</f>
        <v>720.96</v>
      </c>
      <c r="I38" s="609"/>
      <c r="J38" s="609"/>
      <c r="K38" s="609"/>
      <c r="L38" s="609"/>
      <c r="M38" s="609"/>
      <c r="N38" s="610"/>
      <c r="O38" s="611">
        <f>SUM(O37:X37)</f>
        <v>363.46</v>
      </c>
      <c r="P38" s="612"/>
      <c r="Q38" s="612"/>
      <c r="R38" s="612"/>
      <c r="S38" s="612"/>
      <c r="T38" s="612"/>
      <c r="U38" s="612"/>
      <c r="V38" s="612"/>
      <c r="W38" s="612"/>
      <c r="X38" s="613"/>
      <c r="Y38" s="53"/>
      <c r="Z38" s="53"/>
      <c r="AB38" s="112"/>
    </row>
    <row r="39" spans="3:28" ht="20.100000000000001" thickBot="1">
      <c r="C39" s="53"/>
      <c r="D39" s="53"/>
      <c r="E39" s="53"/>
      <c r="F39" s="53"/>
      <c r="G39" s="74"/>
      <c r="H39" s="578">
        <f>SUM(H38:X38)</f>
        <v>1084.42</v>
      </c>
      <c r="I39" s="578"/>
      <c r="J39" s="578"/>
      <c r="K39" s="578"/>
      <c r="L39" s="578"/>
      <c r="M39" s="578"/>
      <c r="N39" s="578"/>
      <c r="O39" s="578"/>
      <c r="P39" s="578"/>
      <c r="Q39" s="578"/>
      <c r="R39" s="578"/>
      <c r="S39" s="578"/>
      <c r="T39" s="578"/>
      <c r="U39" s="578"/>
      <c r="V39" s="578"/>
      <c r="W39" s="578"/>
      <c r="X39" s="579"/>
      <c r="Y39" s="53"/>
      <c r="Z39" s="53"/>
      <c r="AB39" s="112"/>
    </row>
    <row r="40" spans="3:28" ht="17.100000000000001" thickBot="1">
      <c r="C40" s="53"/>
      <c r="D40" s="53"/>
      <c r="E40" s="53"/>
      <c r="F40" s="53"/>
      <c r="G40" s="84" t="s">
        <v>95</v>
      </c>
      <c r="H40" s="544"/>
      <c r="I40" s="545"/>
      <c r="J40" s="438"/>
      <c r="K40" s="438"/>
      <c r="L40" s="544"/>
      <c r="M40" s="545"/>
      <c r="N40" s="111"/>
      <c r="O40" s="547"/>
      <c r="P40" s="545"/>
      <c r="Q40" s="543"/>
      <c r="R40" s="545"/>
      <c r="S40" s="573"/>
      <c r="T40" s="574"/>
      <c r="U40" s="581"/>
      <c r="V40" s="574"/>
      <c r="W40" s="573"/>
      <c r="X40" s="574"/>
      <c r="Y40" s="53"/>
      <c r="Z40" s="53"/>
    </row>
    <row r="41" spans="3:28" ht="17.100000000000001" thickBot="1"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6"/>
      <c r="P41" s="53"/>
      <c r="Q41" s="53"/>
      <c r="R41" s="53"/>
      <c r="S41" s="53"/>
      <c r="T41" s="53"/>
      <c r="U41" s="53"/>
      <c r="V41" s="53"/>
      <c r="W41" s="53"/>
      <c r="X41" s="53"/>
      <c r="Y41" s="85"/>
      <c r="Z41" s="53"/>
    </row>
    <row r="42" spans="3:28"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6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3:28"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6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6"/>
    </row>
    <row r="44" spans="3:28" ht="15.95" customHeight="1">
      <c r="H44" s="582" t="s">
        <v>272</v>
      </c>
      <c r="I44" s="582"/>
      <c r="J44" s="582"/>
      <c r="K44" s="582"/>
      <c r="L44" s="582"/>
      <c r="M44" s="582"/>
      <c r="N44" s="582"/>
      <c r="O44" s="582"/>
      <c r="Z44" s="53"/>
    </row>
    <row r="45" spans="3:28">
      <c r="H45" s="582"/>
      <c r="I45" s="582"/>
      <c r="J45" s="582"/>
      <c r="K45" s="582"/>
      <c r="L45" s="582"/>
      <c r="M45" s="582"/>
      <c r="N45" s="582"/>
      <c r="O45" s="582"/>
      <c r="Z45" s="53"/>
    </row>
    <row r="46" spans="3:28">
      <c r="H46" s="582"/>
      <c r="I46" s="582"/>
      <c r="J46" s="582"/>
      <c r="K46" s="582"/>
      <c r="L46" s="582"/>
      <c r="M46" s="582"/>
      <c r="N46" s="582"/>
      <c r="O46" s="582"/>
    </row>
  </sheetData>
  <mergeCells count="33">
    <mergeCell ref="H38:N38"/>
    <mergeCell ref="O38:X38"/>
    <mergeCell ref="H39:X39"/>
    <mergeCell ref="H40:I40"/>
    <mergeCell ref="L40:M40"/>
    <mergeCell ref="O40:P40"/>
    <mergeCell ref="Q40:R40"/>
    <mergeCell ref="S40:T40"/>
    <mergeCell ref="U40:V40"/>
    <mergeCell ref="W40:X40"/>
    <mergeCell ref="L8:M8"/>
    <mergeCell ref="O8:P8"/>
    <mergeCell ref="C6:D6"/>
    <mergeCell ref="F6:X6"/>
    <mergeCell ref="F7:G7"/>
    <mergeCell ref="H7:N7"/>
    <mergeCell ref="O7:X7"/>
    <mergeCell ref="J37:K37"/>
    <mergeCell ref="J8:K8"/>
    <mergeCell ref="H44:O46"/>
    <mergeCell ref="Z5:AB5"/>
    <mergeCell ref="Q8:R8"/>
    <mergeCell ref="S8:T8"/>
    <mergeCell ref="U8:V8"/>
    <mergeCell ref="W8:X8"/>
    <mergeCell ref="H37:I37"/>
    <mergeCell ref="L37:M37"/>
    <mergeCell ref="O37:P37"/>
    <mergeCell ref="Q37:R37"/>
    <mergeCell ref="S37:T37"/>
    <mergeCell ref="U37:V37"/>
    <mergeCell ref="W37:X37"/>
    <mergeCell ref="H8:I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94BF-FE2B-430D-9845-05C3E32B6E7C}">
  <sheetPr>
    <tabColor rgb="FFD1C1AB"/>
  </sheetPr>
  <dimension ref="B2:AA45"/>
  <sheetViews>
    <sheetView topLeftCell="M11" zoomScale="75" workbookViewId="0">
      <selection activeCell="V18" sqref="V18"/>
    </sheetView>
  </sheetViews>
  <sheetFormatPr defaultColWidth="11" defaultRowHeight="15.95"/>
  <cols>
    <col min="5" max="5" width="21.125" customWidth="1"/>
    <col min="6" max="6" width="14.625" customWidth="1"/>
    <col min="7" max="7" width="26.125" customWidth="1"/>
    <col min="8" max="8" width="9" bestFit="1" customWidth="1"/>
    <col min="9" max="9" width="17.375" customWidth="1"/>
    <col min="10" max="10" width="9" customWidth="1"/>
    <col min="11" max="11" width="25" customWidth="1"/>
    <col min="12" max="12" width="14.625" customWidth="1"/>
    <col min="13" max="13" width="16" customWidth="1"/>
    <col min="14" max="14" width="20.5" customWidth="1"/>
    <col min="16" max="16" width="21.625" customWidth="1"/>
    <col min="17" max="17" width="13.625" customWidth="1"/>
    <col min="18" max="18" width="16.125" customWidth="1"/>
    <col min="20" max="20" width="16.125" customWidth="1"/>
    <col min="22" max="22" width="19" customWidth="1"/>
    <col min="25" max="25" width="19" customWidth="1"/>
    <col min="27" max="27" width="66.5" customWidth="1"/>
  </cols>
  <sheetData>
    <row r="2" spans="2:27" ht="17.100000000000001" thickBot="1"/>
    <row r="3" spans="2:27" ht="21.95" thickBot="1">
      <c r="B3" s="484" t="s">
        <v>0</v>
      </c>
      <c r="C3" s="485"/>
      <c r="D3" s="456"/>
      <c r="E3" s="570" t="s">
        <v>273</v>
      </c>
      <c r="F3" s="571"/>
      <c r="G3" s="633"/>
      <c r="H3" s="633"/>
      <c r="I3" s="633"/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4"/>
      <c r="X3" s="53"/>
      <c r="Y3" s="133" t="s">
        <v>150</v>
      </c>
      <c r="Z3" s="89" t="s">
        <v>151</v>
      </c>
      <c r="AA3" s="134"/>
    </row>
    <row r="4" spans="2:27" ht="17.100000000000001" thickTop="1">
      <c r="B4" s="127" t="s">
        <v>1</v>
      </c>
      <c r="C4" s="128">
        <f>G37</f>
        <v>498.3300000000001</v>
      </c>
      <c r="D4" s="458"/>
      <c r="E4" s="638" t="s">
        <v>274</v>
      </c>
      <c r="F4" s="633"/>
      <c r="G4" s="639">
        <v>430</v>
      </c>
      <c r="H4" s="640"/>
      <c r="I4" s="175"/>
      <c r="J4" s="175"/>
      <c r="K4" s="641">
        <v>25</v>
      </c>
      <c r="L4" s="640"/>
      <c r="M4" s="443">
        <v>180</v>
      </c>
      <c r="N4" s="639">
        <v>30</v>
      </c>
      <c r="O4" s="640"/>
      <c r="P4" s="641">
        <v>30</v>
      </c>
      <c r="Q4" s="640"/>
      <c r="R4" s="641">
        <v>50</v>
      </c>
      <c r="S4" s="640"/>
      <c r="T4" s="641"/>
      <c r="U4" s="640"/>
      <c r="V4" s="641"/>
      <c r="W4" s="642"/>
      <c r="X4" s="56">
        <f>SUM(G4:W4)</f>
        <v>745</v>
      </c>
      <c r="Y4" s="135" t="s">
        <v>36</v>
      </c>
      <c r="Z4" s="92" t="s">
        <v>155</v>
      </c>
      <c r="AA4" s="136"/>
    </row>
    <row r="5" spans="2:27" ht="17.100000000000001" thickBot="1">
      <c r="B5" s="129" t="s">
        <v>154</v>
      </c>
      <c r="C5" s="130">
        <f>N37</f>
        <v>542.92000000000007</v>
      </c>
      <c r="D5" s="56"/>
      <c r="E5" s="648" t="s">
        <v>275</v>
      </c>
      <c r="F5" s="649"/>
      <c r="G5" s="646">
        <f>G4-G36</f>
        <v>210.7</v>
      </c>
      <c r="H5" s="645"/>
      <c r="I5" s="442"/>
      <c r="J5" s="442"/>
      <c r="K5" s="643">
        <f>K4-K36</f>
        <v>4.3800000000000026</v>
      </c>
      <c r="L5" s="647"/>
      <c r="M5" s="441">
        <f>M4-M36</f>
        <v>53.859999999999971</v>
      </c>
      <c r="N5" s="646">
        <f>N4-N36</f>
        <v>10.620000000000001</v>
      </c>
      <c r="O5" s="645"/>
      <c r="P5" s="643">
        <f>P4-P36</f>
        <v>9</v>
      </c>
      <c r="Q5" s="645"/>
      <c r="R5" s="643">
        <f>R4-R36</f>
        <v>-23.540000000000006</v>
      </c>
      <c r="S5" s="645"/>
      <c r="T5" s="643">
        <f>T4-T36</f>
        <v>-368.76</v>
      </c>
      <c r="U5" s="645"/>
      <c r="V5" s="643">
        <f>V3-V36</f>
        <v>-60.240000000000009</v>
      </c>
      <c r="W5" s="644"/>
      <c r="X5" s="53"/>
      <c r="Y5" s="135" t="s">
        <v>164</v>
      </c>
      <c r="Z5" s="92" t="s">
        <v>165</v>
      </c>
      <c r="AA5" s="136"/>
    </row>
    <row r="6" spans="2:27">
      <c r="B6" s="131" t="s">
        <v>227</v>
      </c>
      <c r="C6" s="132">
        <f>C4+C5</f>
        <v>1041.2500000000002</v>
      </c>
      <c r="D6" s="56"/>
      <c r="E6" s="587" t="s">
        <v>276</v>
      </c>
      <c r="F6" s="588"/>
      <c r="G6" s="635" t="s">
        <v>153</v>
      </c>
      <c r="H6" s="590"/>
      <c r="I6" s="590"/>
      <c r="J6" s="590"/>
      <c r="K6" s="590"/>
      <c r="L6" s="590"/>
      <c r="M6" s="590"/>
      <c r="N6" s="636" t="s">
        <v>154</v>
      </c>
      <c r="O6" s="603"/>
      <c r="P6" s="603"/>
      <c r="Q6" s="603"/>
      <c r="R6" s="603"/>
      <c r="S6" s="603"/>
      <c r="T6" s="603"/>
      <c r="U6" s="603"/>
      <c r="V6" s="603"/>
      <c r="W6" s="637"/>
      <c r="X6" s="53"/>
      <c r="Y6" s="135" t="s">
        <v>42</v>
      </c>
      <c r="Z6" s="92"/>
      <c r="AA6" s="136"/>
    </row>
    <row r="7" spans="2:27">
      <c r="B7" s="59" t="s">
        <v>230</v>
      </c>
      <c r="C7" s="60">
        <f>F36</f>
        <v>1.0899999999999181</v>
      </c>
      <c r="D7" s="56"/>
      <c r="E7" s="57" t="s">
        <v>6</v>
      </c>
      <c r="F7" s="58" t="s">
        <v>7</v>
      </c>
      <c r="G7" s="631" t="s">
        <v>156</v>
      </c>
      <c r="H7" s="586"/>
      <c r="I7" s="585" t="s">
        <v>157</v>
      </c>
      <c r="J7" s="586"/>
      <c r="K7" s="593" t="s">
        <v>158</v>
      </c>
      <c r="L7" s="594"/>
      <c r="M7" s="168" t="s">
        <v>9</v>
      </c>
      <c r="N7" s="632" t="s">
        <v>159</v>
      </c>
      <c r="O7" s="596"/>
      <c r="P7" s="583" t="s">
        <v>160</v>
      </c>
      <c r="Q7" s="584"/>
      <c r="R7" s="597" t="s">
        <v>161</v>
      </c>
      <c r="S7" s="597"/>
      <c r="T7" s="600" t="s">
        <v>162</v>
      </c>
      <c r="U7" s="601"/>
      <c r="V7" s="598" t="s">
        <v>163</v>
      </c>
      <c r="W7" s="624"/>
      <c r="X7" s="53"/>
      <c r="Y7" s="135" t="s">
        <v>173</v>
      </c>
      <c r="Z7" s="92" t="s">
        <v>174</v>
      </c>
      <c r="AA7" s="136"/>
    </row>
    <row r="8" spans="2:27">
      <c r="B8" s="72"/>
      <c r="C8" s="126"/>
      <c r="D8" s="56"/>
      <c r="E8" s="61" t="s">
        <v>175</v>
      </c>
      <c r="F8" s="62">
        <v>148.34</v>
      </c>
      <c r="G8" s="446" t="s">
        <v>166</v>
      </c>
      <c r="H8" s="67" t="s">
        <v>7</v>
      </c>
      <c r="I8" s="64"/>
      <c r="J8" s="67"/>
      <c r="K8" s="64" t="s">
        <v>166</v>
      </c>
      <c r="L8" s="64" t="s">
        <v>7</v>
      </c>
      <c r="M8" s="169" t="s">
        <v>7</v>
      </c>
      <c r="N8" s="446" t="s">
        <v>166</v>
      </c>
      <c r="O8" s="67" t="s">
        <v>7</v>
      </c>
      <c r="P8" s="64" t="s">
        <v>166</v>
      </c>
      <c r="Q8" s="67" t="s">
        <v>7</v>
      </c>
      <c r="R8" s="64" t="s">
        <v>166</v>
      </c>
      <c r="S8" s="64" t="s">
        <v>7</v>
      </c>
      <c r="T8" s="87" t="s">
        <v>166</v>
      </c>
      <c r="U8" s="67" t="s">
        <v>7</v>
      </c>
      <c r="V8" s="64" t="s">
        <v>166</v>
      </c>
      <c r="W8" s="170" t="s">
        <v>7</v>
      </c>
      <c r="X8" s="53"/>
      <c r="Y8" s="137" t="s">
        <v>140</v>
      </c>
      <c r="Z8" s="95" t="s">
        <v>183</v>
      </c>
      <c r="AA8" s="138"/>
    </row>
    <row r="9" spans="2:27">
      <c r="B9" s="53"/>
      <c r="C9" s="56"/>
      <c r="D9" s="56"/>
      <c r="E9" s="61" t="s">
        <v>133</v>
      </c>
      <c r="F9" s="62">
        <v>845</v>
      </c>
      <c r="G9" s="166" t="s">
        <v>167</v>
      </c>
      <c r="H9" s="71">
        <v>175</v>
      </c>
      <c r="I9" s="53" t="s">
        <v>42</v>
      </c>
      <c r="J9" s="71">
        <v>62.27</v>
      </c>
      <c r="K9" s="56"/>
      <c r="L9" s="56"/>
      <c r="M9" s="75">
        <v>3.24</v>
      </c>
      <c r="N9" s="171" t="s">
        <v>277</v>
      </c>
      <c r="O9" s="71">
        <v>7.99</v>
      </c>
      <c r="P9" s="56" t="s">
        <v>187</v>
      </c>
      <c r="Q9" s="56">
        <v>12.5</v>
      </c>
      <c r="R9" s="69" t="s">
        <v>278</v>
      </c>
      <c r="S9" s="71">
        <v>15.57</v>
      </c>
      <c r="T9" s="159" t="s">
        <v>238</v>
      </c>
      <c r="U9" s="158">
        <v>209.93</v>
      </c>
      <c r="V9" s="53" t="s">
        <v>279</v>
      </c>
      <c r="W9" s="172">
        <v>22</v>
      </c>
      <c r="X9" s="53"/>
      <c r="Y9" s="133" t="s">
        <v>190</v>
      </c>
      <c r="Z9" s="97" t="s">
        <v>191</v>
      </c>
      <c r="AA9" s="134"/>
    </row>
    <row r="10" spans="2:27">
      <c r="B10" s="53"/>
      <c r="C10" s="53"/>
      <c r="D10" s="56"/>
      <c r="E10" s="61" t="s">
        <v>280</v>
      </c>
      <c r="F10" s="62">
        <v>200</v>
      </c>
      <c r="G10" s="166" t="s">
        <v>240</v>
      </c>
      <c r="H10" s="71">
        <v>27.5</v>
      </c>
      <c r="I10" s="56"/>
      <c r="J10" s="71"/>
      <c r="K10" s="56"/>
      <c r="L10" s="56"/>
      <c r="M10" s="75">
        <v>6.44</v>
      </c>
      <c r="N10" s="171" t="s">
        <v>281</v>
      </c>
      <c r="O10" s="71">
        <v>7.99</v>
      </c>
      <c r="P10" s="56" t="s">
        <v>282</v>
      </c>
      <c r="Q10" s="71">
        <v>8.5</v>
      </c>
      <c r="R10" s="53" t="s">
        <v>283</v>
      </c>
      <c r="S10" s="53">
        <v>11.99</v>
      </c>
      <c r="T10" s="75" t="s">
        <v>284</v>
      </c>
      <c r="U10" s="71">
        <v>132.84</v>
      </c>
      <c r="V10" s="53" t="s">
        <v>285</v>
      </c>
      <c r="W10" s="56">
        <v>19</v>
      </c>
      <c r="X10" s="53"/>
      <c r="Y10" s="135" t="s">
        <v>195</v>
      </c>
      <c r="Z10" s="98" t="s">
        <v>196</v>
      </c>
      <c r="AA10" s="136"/>
    </row>
    <row r="11" spans="2:27">
      <c r="B11" s="53"/>
      <c r="C11" s="53"/>
      <c r="D11" s="458"/>
      <c r="E11" s="61"/>
      <c r="F11" s="62"/>
      <c r="G11" s="166" t="s">
        <v>185</v>
      </c>
      <c r="H11" s="71">
        <v>16.8</v>
      </c>
      <c r="I11" s="56"/>
      <c r="J11" s="71"/>
      <c r="K11" s="56" t="s">
        <v>286</v>
      </c>
      <c r="L11" s="56">
        <v>10.99</v>
      </c>
      <c r="M11" s="75">
        <v>1.25</v>
      </c>
      <c r="N11" s="171" t="s">
        <v>287</v>
      </c>
      <c r="O11" s="71">
        <v>2.75</v>
      </c>
      <c r="P11" s="56"/>
      <c r="Q11" s="71"/>
      <c r="R11" s="53" t="s">
        <v>288</v>
      </c>
      <c r="S11" s="56">
        <v>12.49</v>
      </c>
      <c r="T11" s="75" t="s">
        <v>289</v>
      </c>
      <c r="U11" s="75">
        <v>25.99</v>
      </c>
      <c r="V11" s="53" t="s">
        <v>290</v>
      </c>
      <c r="W11" s="172">
        <v>9.99</v>
      </c>
      <c r="X11" s="53"/>
      <c r="Y11" s="135" t="s">
        <v>201</v>
      </c>
      <c r="Z11" s="98" t="s">
        <v>202</v>
      </c>
      <c r="AA11" s="136"/>
    </row>
    <row r="12" spans="2:27">
      <c r="B12" s="53"/>
      <c r="C12" s="53"/>
      <c r="D12" s="77"/>
      <c r="E12" s="61"/>
      <c r="F12" s="62"/>
      <c r="G12" s="166"/>
      <c r="H12" s="71"/>
      <c r="I12" s="56"/>
      <c r="J12" s="71"/>
      <c r="K12" s="56" t="s">
        <v>291</v>
      </c>
      <c r="L12" s="56">
        <v>5.14</v>
      </c>
      <c r="M12" s="75">
        <v>5.09</v>
      </c>
      <c r="N12" s="171" t="s">
        <v>287</v>
      </c>
      <c r="O12" s="71">
        <v>0.65</v>
      </c>
      <c r="P12" s="56"/>
      <c r="Q12" s="71"/>
      <c r="R12" s="53" t="s">
        <v>292</v>
      </c>
      <c r="S12" s="56">
        <v>18.72</v>
      </c>
      <c r="T12" s="75"/>
      <c r="U12" s="71"/>
      <c r="V12" s="53" t="s">
        <v>293</v>
      </c>
      <c r="W12" s="172">
        <v>1.02</v>
      </c>
      <c r="X12" s="53"/>
      <c r="Y12" s="135" t="s">
        <v>204</v>
      </c>
      <c r="Z12" s="98" t="s">
        <v>205</v>
      </c>
      <c r="AA12" s="136"/>
    </row>
    <row r="13" spans="2:27">
      <c r="B13" s="53"/>
      <c r="C13" s="53"/>
      <c r="D13" s="77"/>
      <c r="E13" s="61"/>
      <c r="F13" s="62"/>
      <c r="G13" s="166"/>
      <c r="H13" s="71"/>
      <c r="I13" s="56"/>
      <c r="J13" s="71"/>
      <c r="K13" s="56" t="s">
        <v>294</v>
      </c>
      <c r="L13" s="56">
        <v>4.49</v>
      </c>
      <c r="M13" s="75">
        <v>20</v>
      </c>
      <c r="N13" s="171"/>
      <c r="O13" s="71"/>
      <c r="P13" s="56"/>
      <c r="Q13" s="71"/>
      <c r="R13" s="53" t="s">
        <v>295</v>
      </c>
      <c r="S13" s="56">
        <v>14.77</v>
      </c>
      <c r="T13" s="75"/>
      <c r="U13" s="71"/>
      <c r="V13" s="53"/>
      <c r="W13" s="172"/>
      <c r="X13" s="53"/>
      <c r="Y13" s="137" t="s">
        <v>208</v>
      </c>
      <c r="Z13" s="99" t="s">
        <v>209</v>
      </c>
      <c r="AA13" s="138"/>
    </row>
    <row r="14" spans="2:27">
      <c r="B14" s="53"/>
      <c r="C14" s="53"/>
      <c r="D14" s="77"/>
      <c r="E14" s="61"/>
      <c r="F14" s="76"/>
      <c r="G14" s="166"/>
      <c r="H14" s="71"/>
      <c r="I14" s="56"/>
      <c r="J14" s="71"/>
      <c r="K14" s="56"/>
      <c r="L14" s="56"/>
      <c r="M14" s="75">
        <v>10.43</v>
      </c>
      <c r="N14" s="171"/>
      <c r="O14" s="71"/>
      <c r="P14" s="56"/>
      <c r="Q14" s="71"/>
      <c r="R14" s="53"/>
      <c r="S14" s="56"/>
      <c r="T14" s="75"/>
      <c r="U14" s="71"/>
      <c r="V14" s="53"/>
      <c r="W14" s="172"/>
      <c r="X14" s="53"/>
      <c r="Y14" s="133" t="s">
        <v>9</v>
      </c>
      <c r="Z14" s="89" t="s">
        <v>210</v>
      </c>
      <c r="AA14" s="134"/>
    </row>
    <row r="15" spans="2:27">
      <c r="B15" s="53"/>
      <c r="C15" s="53"/>
      <c r="D15" s="77"/>
      <c r="E15" s="78"/>
      <c r="F15" s="76"/>
      <c r="G15" s="166"/>
      <c r="H15" s="71"/>
      <c r="I15" s="56"/>
      <c r="J15" s="71"/>
      <c r="K15" s="56"/>
      <c r="L15" s="56"/>
      <c r="M15" s="75">
        <v>16.190000000000001</v>
      </c>
      <c r="N15" s="171"/>
      <c r="O15" s="71"/>
      <c r="P15" s="56"/>
      <c r="Q15" s="71"/>
      <c r="R15" s="53"/>
      <c r="S15" s="56"/>
      <c r="T15" s="75"/>
      <c r="U15" s="71"/>
      <c r="V15" s="53"/>
      <c r="W15" s="172"/>
      <c r="X15" s="53"/>
      <c r="Y15" s="135" t="s">
        <v>36</v>
      </c>
      <c r="Z15" s="98" t="s">
        <v>212</v>
      </c>
      <c r="AA15" s="136"/>
    </row>
    <row r="16" spans="2:27">
      <c r="B16" s="53"/>
      <c r="C16" s="56"/>
      <c r="D16" s="56"/>
      <c r="E16" s="78"/>
      <c r="F16" s="76"/>
      <c r="G16" s="166"/>
      <c r="H16" s="71"/>
      <c r="I16" s="56"/>
      <c r="J16" s="71"/>
      <c r="K16" s="56"/>
      <c r="L16" s="56"/>
      <c r="M16" s="75">
        <v>6.32</v>
      </c>
      <c r="N16" s="171"/>
      <c r="O16" s="71"/>
      <c r="P16" s="56"/>
      <c r="Q16" s="71"/>
      <c r="R16" s="53"/>
      <c r="S16" s="56"/>
      <c r="T16" s="75"/>
      <c r="U16" s="71"/>
      <c r="V16" s="53"/>
      <c r="W16" s="172"/>
      <c r="X16" s="53"/>
      <c r="Y16" s="139" t="s">
        <v>159</v>
      </c>
      <c r="Z16" s="114" t="s">
        <v>214</v>
      </c>
      <c r="AA16" s="140"/>
    </row>
    <row r="17" spans="2:27">
      <c r="B17" s="53"/>
      <c r="C17" s="56"/>
      <c r="D17" s="458"/>
      <c r="E17" s="61"/>
      <c r="F17" s="62"/>
      <c r="G17" s="167" t="s">
        <v>267</v>
      </c>
      <c r="H17" s="158"/>
      <c r="I17" s="56"/>
      <c r="J17" s="71"/>
      <c r="K17" s="56"/>
      <c r="L17" s="56"/>
      <c r="M17" s="75">
        <v>4.3899999999999997</v>
      </c>
      <c r="N17" s="171"/>
      <c r="O17" s="71"/>
      <c r="P17" s="56"/>
      <c r="Q17" s="71"/>
      <c r="R17" s="53"/>
      <c r="S17" s="56"/>
      <c r="T17" s="75"/>
      <c r="U17" s="71"/>
      <c r="V17" s="53"/>
      <c r="W17" s="172"/>
      <c r="X17" s="53"/>
      <c r="Y17" s="141" t="s">
        <v>216</v>
      </c>
      <c r="Z17" s="116" t="s">
        <v>296</v>
      </c>
      <c r="AA17" s="142"/>
    </row>
    <row r="18" spans="2:27">
      <c r="B18" s="53"/>
      <c r="C18" s="53"/>
      <c r="D18" s="77"/>
      <c r="E18" s="79"/>
      <c r="F18" s="80"/>
      <c r="G18" s="166"/>
      <c r="H18" s="71"/>
      <c r="I18" s="159" t="s">
        <v>297</v>
      </c>
      <c r="J18" s="158">
        <v>70</v>
      </c>
      <c r="K18" s="56"/>
      <c r="L18" s="56"/>
      <c r="M18" s="75">
        <v>22.97</v>
      </c>
      <c r="N18" s="171"/>
      <c r="O18" s="71"/>
      <c r="P18" s="56"/>
      <c r="Q18" s="71"/>
      <c r="R18" s="53"/>
      <c r="S18" s="56"/>
      <c r="T18" s="75"/>
      <c r="U18" s="71"/>
      <c r="V18" s="53"/>
      <c r="W18" s="172"/>
      <c r="X18" s="53"/>
      <c r="Y18" s="139" t="s">
        <v>161</v>
      </c>
      <c r="Z18" s="101" t="s">
        <v>219</v>
      </c>
      <c r="AA18" s="140"/>
    </row>
    <row r="19" spans="2:27">
      <c r="B19" s="53"/>
      <c r="C19" s="53"/>
      <c r="D19" s="77"/>
      <c r="E19" s="78"/>
      <c r="F19" s="76"/>
      <c r="G19" s="166"/>
      <c r="H19" s="71"/>
      <c r="I19" s="56"/>
      <c r="J19" s="71"/>
      <c r="K19" s="56"/>
      <c r="L19" s="56"/>
      <c r="M19" s="75">
        <v>0.65</v>
      </c>
      <c r="N19" s="171"/>
      <c r="O19" s="71"/>
      <c r="P19" s="56"/>
      <c r="Q19" s="71"/>
      <c r="R19" s="53"/>
      <c r="S19" s="56"/>
      <c r="T19" s="75"/>
      <c r="U19" s="71"/>
      <c r="V19" s="53" t="s">
        <v>298</v>
      </c>
      <c r="W19" s="172">
        <v>8.23</v>
      </c>
      <c r="X19" s="53"/>
      <c r="Y19" s="143" t="s">
        <v>220</v>
      </c>
      <c r="Z19" s="104"/>
      <c r="AA19" s="144"/>
    </row>
    <row r="20" spans="2:27">
      <c r="B20" s="53"/>
      <c r="C20" s="53"/>
      <c r="D20" s="77"/>
      <c r="E20" s="78"/>
      <c r="F20" s="76"/>
      <c r="G20" s="166"/>
      <c r="H20" s="71"/>
      <c r="I20" s="56"/>
      <c r="J20" s="71"/>
      <c r="K20" s="56"/>
      <c r="L20" s="56"/>
      <c r="M20" s="75">
        <v>1.39</v>
      </c>
      <c r="N20" s="171"/>
      <c r="O20" s="71"/>
      <c r="P20" s="56"/>
      <c r="Q20" s="71"/>
      <c r="R20" s="53"/>
      <c r="S20" s="56"/>
      <c r="T20" s="75"/>
      <c r="U20" s="71"/>
      <c r="V20" s="53"/>
      <c r="W20" s="173"/>
      <c r="X20" s="53"/>
      <c r="Y20" s="139" t="s">
        <v>162</v>
      </c>
      <c r="Z20" s="101"/>
      <c r="AA20" s="140"/>
    </row>
    <row r="21" spans="2:27">
      <c r="B21" s="53"/>
      <c r="C21" s="53"/>
      <c r="D21" s="77"/>
      <c r="E21" s="78"/>
      <c r="F21" s="76"/>
      <c r="G21" s="166"/>
      <c r="H21" s="71"/>
      <c r="I21" s="56"/>
      <c r="J21" s="71"/>
      <c r="K21" s="56"/>
      <c r="L21" s="56"/>
      <c r="M21" s="75">
        <v>3.3</v>
      </c>
      <c r="N21" s="171"/>
      <c r="O21" s="71"/>
      <c r="P21" s="56"/>
      <c r="Q21" s="71"/>
      <c r="R21" s="53"/>
      <c r="S21" s="56"/>
      <c r="T21" s="75"/>
      <c r="U21" s="71"/>
      <c r="V21" s="53"/>
      <c r="W21" s="172"/>
      <c r="X21" s="53"/>
      <c r="Y21" s="143" t="s">
        <v>221</v>
      </c>
      <c r="Z21" s="104"/>
      <c r="AA21" s="144"/>
    </row>
    <row r="22" spans="2:27">
      <c r="B22" s="53"/>
      <c r="C22" s="53"/>
      <c r="D22" s="77"/>
      <c r="E22" s="78"/>
      <c r="F22" s="76"/>
      <c r="G22" s="166"/>
      <c r="H22" s="71"/>
      <c r="I22" s="56"/>
      <c r="J22" s="71"/>
      <c r="K22" s="56"/>
      <c r="L22" s="56"/>
      <c r="M22" s="75">
        <v>2.78</v>
      </c>
      <c r="N22" s="171"/>
      <c r="O22" s="71"/>
      <c r="P22" s="56"/>
      <c r="Q22" s="71"/>
      <c r="R22" s="53"/>
      <c r="S22" s="56"/>
      <c r="T22" s="75"/>
      <c r="U22" s="71"/>
      <c r="V22" s="53"/>
      <c r="W22" s="172"/>
      <c r="X22" s="53"/>
      <c r="Y22" s="145" t="s">
        <v>222</v>
      </c>
      <c r="Z22" s="108"/>
      <c r="AA22" s="146"/>
    </row>
    <row r="23" spans="2:27">
      <c r="B23" s="53"/>
      <c r="C23" s="53"/>
      <c r="D23" s="77"/>
      <c r="E23" s="68"/>
      <c r="F23" s="74"/>
      <c r="G23" s="166"/>
      <c r="H23" s="71"/>
      <c r="I23" s="56"/>
      <c r="J23" s="71"/>
      <c r="K23" s="56"/>
      <c r="L23" s="56"/>
      <c r="M23" s="75">
        <v>1.88</v>
      </c>
      <c r="N23" s="171"/>
      <c r="O23" s="71"/>
      <c r="P23" s="56"/>
      <c r="Q23" s="71"/>
      <c r="R23" s="53"/>
      <c r="S23" s="56"/>
      <c r="T23" s="75"/>
      <c r="U23" s="71"/>
      <c r="V23" s="53"/>
      <c r="W23" s="172"/>
      <c r="X23" s="53"/>
      <c r="Y23" s="139" t="s">
        <v>163</v>
      </c>
      <c r="Z23" s="101"/>
      <c r="AA23" s="140"/>
    </row>
    <row r="24" spans="2:27">
      <c r="B24" s="53"/>
      <c r="C24" s="53"/>
      <c r="D24" s="53"/>
      <c r="E24" s="68"/>
      <c r="F24" s="74"/>
      <c r="G24" s="166"/>
      <c r="H24" s="71"/>
      <c r="I24" s="56"/>
      <c r="J24" s="71"/>
      <c r="K24" s="56"/>
      <c r="L24" s="56"/>
      <c r="M24" s="75">
        <v>2.65</v>
      </c>
      <c r="N24" s="171"/>
      <c r="O24" s="71"/>
      <c r="P24" s="56"/>
      <c r="Q24" s="71"/>
      <c r="R24" s="53"/>
      <c r="S24" s="56"/>
      <c r="T24" s="75"/>
      <c r="U24" s="71"/>
      <c r="V24" s="53"/>
      <c r="W24" s="172"/>
      <c r="X24" s="53"/>
      <c r="Y24" s="143" t="s">
        <v>138</v>
      </c>
      <c r="Z24" s="106" t="s">
        <v>223</v>
      </c>
      <c r="AA24" s="144"/>
    </row>
    <row r="25" spans="2:27">
      <c r="B25" s="53"/>
      <c r="C25" s="53"/>
      <c r="D25" s="53"/>
      <c r="E25" s="68"/>
      <c r="F25" s="74"/>
      <c r="G25" s="166"/>
      <c r="H25" s="71"/>
      <c r="I25" s="56"/>
      <c r="J25" s="71"/>
      <c r="K25" s="56"/>
      <c r="L25" s="56"/>
      <c r="M25" s="75">
        <v>0.76</v>
      </c>
      <c r="N25" s="171"/>
      <c r="O25" s="71"/>
      <c r="P25" s="56"/>
      <c r="Q25" s="71"/>
      <c r="R25" s="53"/>
      <c r="S25" s="56"/>
      <c r="T25" s="75"/>
      <c r="U25" s="71"/>
      <c r="V25" s="53"/>
      <c r="W25" s="172"/>
      <c r="X25" s="53"/>
      <c r="Y25" s="143" t="s">
        <v>224</v>
      </c>
      <c r="Z25" s="104" t="s">
        <v>225</v>
      </c>
      <c r="AA25" s="144"/>
    </row>
    <row r="26" spans="2:27" ht="17.100000000000001" thickBot="1">
      <c r="B26" s="53"/>
      <c r="C26" s="53"/>
      <c r="D26" s="53"/>
      <c r="E26" s="68"/>
      <c r="F26" s="74"/>
      <c r="G26" s="166"/>
      <c r="H26" s="71"/>
      <c r="I26" s="56"/>
      <c r="J26" s="71"/>
      <c r="K26" s="56"/>
      <c r="L26" s="56"/>
      <c r="M26" s="75">
        <v>1.69</v>
      </c>
      <c r="N26" s="171"/>
      <c r="O26" s="71"/>
      <c r="P26" s="56"/>
      <c r="Q26" s="71"/>
      <c r="R26" s="53"/>
      <c r="S26" s="56"/>
      <c r="T26" s="75"/>
      <c r="U26" s="71"/>
      <c r="V26" s="53"/>
      <c r="W26" s="172"/>
      <c r="X26" s="53"/>
      <c r="Y26" s="147" t="s">
        <v>226</v>
      </c>
      <c r="Z26" s="148"/>
      <c r="AA26" s="149"/>
    </row>
    <row r="27" spans="2:27">
      <c r="B27" s="53"/>
      <c r="C27" s="53"/>
      <c r="D27" s="53"/>
      <c r="E27" s="68"/>
      <c r="F27" s="74"/>
      <c r="G27" s="166"/>
      <c r="H27" s="71"/>
      <c r="I27" s="56"/>
      <c r="J27" s="71"/>
      <c r="K27" s="56"/>
      <c r="L27" s="56"/>
      <c r="M27" s="75">
        <v>2.17</v>
      </c>
      <c r="N27" s="171"/>
      <c r="O27" s="71"/>
      <c r="P27" s="56"/>
      <c r="Q27" s="71"/>
      <c r="R27" s="53"/>
      <c r="S27" s="56"/>
      <c r="T27" s="75"/>
      <c r="U27" s="71"/>
      <c r="V27" s="53"/>
      <c r="W27" s="172"/>
      <c r="X27" s="53"/>
      <c r="Y27" s="53"/>
    </row>
    <row r="28" spans="2:27">
      <c r="B28" s="53"/>
      <c r="C28" s="53"/>
      <c r="D28" s="53"/>
      <c r="E28" s="68"/>
      <c r="F28" s="74"/>
      <c r="G28" s="166"/>
      <c r="H28" s="71"/>
      <c r="I28" s="56"/>
      <c r="J28" s="71"/>
      <c r="K28" s="56"/>
      <c r="L28" s="56"/>
      <c r="M28" s="75">
        <v>4.09</v>
      </c>
      <c r="N28" s="171"/>
      <c r="O28" s="71"/>
      <c r="P28" s="56"/>
      <c r="Q28" s="71"/>
      <c r="R28" s="53"/>
      <c r="S28" s="56"/>
      <c r="T28" s="75"/>
      <c r="U28" s="71"/>
      <c r="V28" s="53"/>
      <c r="W28" s="172"/>
      <c r="X28" s="53"/>
      <c r="Y28" s="53"/>
    </row>
    <row r="29" spans="2:27">
      <c r="B29" s="53"/>
      <c r="C29" s="53"/>
      <c r="D29" s="53"/>
      <c r="E29" s="68"/>
      <c r="F29" s="74"/>
      <c r="G29" s="166"/>
      <c r="H29" s="71"/>
      <c r="I29" s="56"/>
      <c r="J29" s="71"/>
      <c r="K29" s="56"/>
      <c r="L29" s="56"/>
      <c r="M29" s="75">
        <v>2.73</v>
      </c>
      <c r="N29" s="171"/>
      <c r="O29" s="71"/>
      <c r="P29" s="56"/>
      <c r="Q29" s="71"/>
      <c r="R29" s="53"/>
      <c r="S29" s="56"/>
      <c r="T29" s="75"/>
      <c r="U29" s="71"/>
      <c r="V29" s="53"/>
      <c r="W29" s="172"/>
      <c r="X29" s="53"/>
      <c r="Y29" s="53"/>
    </row>
    <row r="30" spans="2:27">
      <c r="B30" s="53"/>
      <c r="C30" s="53"/>
      <c r="D30" s="53"/>
      <c r="E30" s="68"/>
      <c r="F30" s="74"/>
      <c r="G30" s="166"/>
      <c r="H30" s="71"/>
      <c r="I30" s="56"/>
      <c r="J30" s="71"/>
      <c r="K30" s="56"/>
      <c r="L30" s="56"/>
      <c r="M30" s="75">
        <v>1.1200000000000001</v>
      </c>
      <c r="N30" s="171"/>
      <c r="O30" s="71"/>
      <c r="P30" s="56"/>
      <c r="Q30" s="71"/>
      <c r="R30" s="53"/>
      <c r="S30" s="56"/>
      <c r="T30" s="75"/>
      <c r="U30" s="71"/>
      <c r="V30" s="53"/>
      <c r="W30" s="172"/>
      <c r="X30" s="53"/>
      <c r="Y30" s="53"/>
    </row>
    <row r="31" spans="2:27">
      <c r="B31" s="53"/>
      <c r="C31" s="53"/>
      <c r="D31" s="53"/>
      <c r="E31" s="68" t="s">
        <v>227</v>
      </c>
      <c r="F31" s="62">
        <f>SUM(F8:F30)</f>
        <v>1193.3400000000001</v>
      </c>
      <c r="G31" s="166"/>
      <c r="H31" s="71"/>
      <c r="I31" s="56"/>
      <c r="J31" s="71"/>
      <c r="K31" s="56"/>
      <c r="L31" s="56"/>
      <c r="M31" s="75">
        <v>0.67</v>
      </c>
      <c r="N31" s="171"/>
      <c r="O31" s="71"/>
      <c r="P31" s="56"/>
      <c r="Q31" s="71"/>
      <c r="R31" s="53"/>
      <c r="S31" s="56"/>
      <c r="T31" s="75"/>
      <c r="U31" s="71"/>
      <c r="V31" s="53"/>
      <c r="W31" s="172"/>
      <c r="X31" s="53"/>
      <c r="Y31" s="53"/>
      <c r="AA31" s="112"/>
    </row>
    <row r="32" spans="2:27">
      <c r="B32" s="53"/>
      <c r="C32" s="53"/>
      <c r="D32" s="53"/>
      <c r="E32" s="68" t="s">
        <v>228</v>
      </c>
      <c r="F32" s="62">
        <v>151</v>
      </c>
      <c r="G32" s="166"/>
      <c r="H32" s="71"/>
      <c r="I32" s="56"/>
      <c r="J32" s="71"/>
      <c r="K32" s="56"/>
      <c r="L32" s="56"/>
      <c r="M32" s="75">
        <v>3.19</v>
      </c>
      <c r="N32" s="171"/>
      <c r="O32" s="71"/>
      <c r="P32" s="56"/>
      <c r="Q32" s="71"/>
      <c r="R32" s="53"/>
      <c r="S32" s="56"/>
      <c r="T32" s="75"/>
      <c r="U32" s="71"/>
      <c r="V32" s="53"/>
      <c r="W32" s="172"/>
      <c r="X32" s="53"/>
      <c r="Y32" s="53"/>
      <c r="AA32" s="112"/>
    </row>
    <row r="33" spans="2:27">
      <c r="B33" s="53"/>
      <c r="C33" s="53"/>
      <c r="D33" s="53"/>
      <c r="E33" s="68" t="s">
        <v>270</v>
      </c>
      <c r="F33" s="62"/>
      <c r="G33" s="166"/>
      <c r="H33" s="71"/>
      <c r="I33" s="56"/>
      <c r="J33" s="71"/>
      <c r="K33" s="56"/>
      <c r="L33" s="56"/>
      <c r="M33" s="75">
        <v>0.75</v>
      </c>
      <c r="N33" s="171"/>
      <c r="O33" s="71"/>
      <c r="P33" s="56"/>
      <c r="Q33" s="71"/>
      <c r="R33" s="53"/>
      <c r="S33" s="56"/>
      <c r="T33" s="75"/>
      <c r="U33" s="71"/>
      <c r="V33" s="53"/>
      <c r="W33" s="172"/>
      <c r="X33" s="53"/>
      <c r="Y33" s="53"/>
      <c r="AA33" s="112"/>
    </row>
    <row r="34" spans="2:27">
      <c r="B34" s="53"/>
      <c r="C34" s="53"/>
      <c r="D34" s="53"/>
      <c r="E34" s="68" t="s">
        <v>271</v>
      </c>
      <c r="F34" s="62"/>
      <c r="G34" s="166"/>
      <c r="H34" s="71"/>
      <c r="I34" s="56"/>
      <c r="J34" s="71"/>
      <c r="K34" s="56"/>
      <c r="L34" s="56"/>
      <c r="M34" s="75"/>
      <c r="N34" s="171"/>
      <c r="O34" s="71"/>
      <c r="P34" s="56"/>
      <c r="Q34" s="71"/>
      <c r="R34" s="53"/>
      <c r="S34" s="56"/>
      <c r="T34" s="75"/>
      <c r="U34" s="71"/>
      <c r="V34" s="53"/>
      <c r="W34" s="172"/>
      <c r="X34" s="53"/>
      <c r="Y34" s="53"/>
      <c r="AA34" s="112"/>
    </row>
    <row r="35" spans="2:27">
      <c r="B35" s="53"/>
      <c r="C35" s="53"/>
      <c r="D35" s="53"/>
      <c r="E35" s="122" t="s">
        <v>229</v>
      </c>
      <c r="F35" s="164">
        <f>F31-F32-F33-F34</f>
        <v>1042.3400000000001</v>
      </c>
      <c r="G35" s="166"/>
      <c r="H35" s="71"/>
      <c r="I35" s="56"/>
      <c r="J35" s="71"/>
      <c r="K35" s="56"/>
      <c r="L35" s="56"/>
      <c r="M35" s="75"/>
      <c r="N35" s="171"/>
      <c r="O35" s="71"/>
      <c r="P35" s="56"/>
      <c r="Q35" s="71"/>
      <c r="R35" s="53"/>
      <c r="S35" s="56"/>
      <c r="T35" s="75"/>
      <c r="U35" s="71"/>
      <c r="V35" s="53"/>
      <c r="W35" s="172"/>
      <c r="X35" s="53"/>
      <c r="Y35" s="53"/>
      <c r="AA35" s="112"/>
    </row>
    <row r="36" spans="2:27" ht="17.100000000000001" thickBot="1">
      <c r="B36" s="53"/>
      <c r="C36" s="53"/>
      <c r="D36" s="53"/>
      <c r="E36" s="124" t="s">
        <v>230</v>
      </c>
      <c r="F36" s="165">
        <f>F35-G38</f>
        <v>1.0899999999999181</v>
      </c>
      <c r="G36" s="625">
        <f>SUM(H9:H35)</f>
        <v>219.3</v>
      </c>
      <c r="H36" s="626"/>
      <c r="I36" s="629">
        <f>SUM(J9:J35)</f>
        <v>132.27000000000001</v>
      </c>
      <c r="J36" s="626"/>
      <c r="K36" s="627">
        <f>SUM(L9:L35)</f>
        <v>20.619999999999997</v>
      </c>
      <c r="L36" s="627"/>
      <c r="M36" s="174">
        <f>SUM(M9:M35)</f>
        <v>126.14000000000003</v>
      </c>
      <c r="N36" s="625">
        <f>SUM(O9:O35)</f>
        <v>19.38</v>
      </c>
      <c r="O36" s="626"/>
      <c r="P36" s="628">
        <f>SUM(Q9:Q35)</f>
        <v>21</v>
      </c>
      <c r="Q36" s="626"/>
      <c r="R36" s="628">
        <f>SUM(S9:S35)</f>
        <v>73.540000000000006</v>
      </c>
      <c r="S36" s="628"/>
      <c r="T36" s="629">
        <f>SUM(U9:U35)</f>
        <v>368.76</v>
      </c>
      <c r="U36" s="626"/>
      <c r="V36" s="628">
        <f>SUM(W9:W35)</f>
        <v>60.240000000000009</v>
      </c>
      <c r="W36" s="630"/>
      <c r="X36" s="53"/>
      <c r="Y36" s="53"/>
      <c r="AA36" s="112"/>
    </row>
    <row r="37" spans="2:27" ht="17.100000000000001" thickBot="1">
      <c r="B37" s="53"/>
      <c r="C37" s="53"/>
      <c r="D37" s="53"/>
      <c r="E37" s="56"/>
      <c r="F37" s="62"/>
      <c r="G37" s="614">
        <f>SUM(G36:M36)</f>
        <v>498.3300000000001</v>
      </c>
      <c r="H37" s="615"/>
      <c r="I37" s="615"/>
      <c r="J37" s="615"/>
      <c r="K37" s="615"/>
      <c r="L37" s="615"/>
      <c r="M37" s="616"/>
      <c r="N37" s="617">
        <f>SUM(N36:W36)</f>
        <v>542.92000000000007</v>
      </c>
      <c r="O37" s="618"/>
      <c r="P37" s="618"/>
      <c r="Q37" s="618"/>
      <c r="R37" s="618"/>
      <c r="S37" s="618"/>
      <c r="T37" s="618"/>
      <c r="U37" s="618"/>
      <c r="V37" s="618"/>
      <c r="W37" s="619"/>
      <c r="X37" s="53"/>
      <c r="Y37" s="53"/>
    </row>
    <row r="38" spans="2:27" ht="21" thickTop="1" thickBot="1">
      <c r="B38" s="53"/>
      <c r="C38" s="53"/>
      <c r="D38" s="53"/>
      <c r="E38" s="53"/>
      <c r="F38" s="162"/>
      <c r="G38" s="620">
        <f>SUM(G37:W37)</f>
        <v>1041.2500000000002</v>
      </c>
      <c r="H38" s="620"/>
      <c r="I38" s="620"/>
      <c r="J38" s="620"/>
      <c r="K38" s="620"/>
      <c r="L38" s="620"/>
      <c r="M38" s="620"/>
      <c r="N38" s="620"/>
      <c r="O38" s="620"/>
      <c r="P38" s="620"/>
      <c r="Q38" s="620"/>
      <c r="R38" s="620"/>
      <c r="S38" s="620"/>
      <c r="T38" s="620"/>
      <c r="U38" s="620"/>
      <c r="V38" s="620"/>
      <c r="W38" s="621"/>
      <c r="X38" s="161"/>
      <c r="Y38" s="53"/>
    </row>
    <row r="39" spans="2:27">
      <c r="B39" s="53"/>
      <c r="C39" s="53"/>
      <c r="D39" s="53"/>
      <c r="E39" s="53"/>
      <c r="F39" s="450"/>
      <c r="G39" s="622"/>
      <c r="H39" s="622"/>
      <c r="I39" s="444"/>
      <c r="J39" s="444"/>
      <c r="K39" s="622"/>
      <c r="L39" s="622"/>
      <c r="M39" s="160"/>
      <c r="N39" s="622"/>
      <c r="O39" s="622"/>
      <c r="P39" s="622"/>
      <c r="Q39" s="622"/>
      <c r="R39" s="623"/>
      <c r="S39" s="623"/>
      <c r="T39" s="623"/>
      <c r="U39" s="623"/>
      <c r="V39" s="623"/>
      <c r="W39" s="623"/>
      <c r="X39" s="53"/>
      <c r="Y39" s="53"/>
    </row>
    <row r="40" spans="2:27"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6"/>
    </row>
    <row r="41" spans="2:27">
      <c r="E41" s="53"/>
      <c r="F41" s="53"/>
      <c r="G41" s="53"/>
      <c r="H41" s="53"/>
      <c r="I41" s="53"/>
      <c r="J41" s="53"/>
      <c r="K41" s="53"/>
      <c r="L41" s="53"/>
      <c r="M41" s="53"/>
      <c r="N41" s="56"/>
      <c r="O41" s="53"/>
      <c r="P41" s="53"/>
      <c r="Q41" s="53"/>
      <c r="R41" s="53"/>
      <c r="S41" s="53"/>
      <c r="T41" s="53"/>
      <c r="U41" s="53"/>
      <c r="V41" s="53"/>
      <c r="W41" s="53"/>
      <c r="Y41" s="53"/>
    </row>
    <row r="42" spans="2:27">
      <c r="E42" s="53"/>
      <c r="F42" s="53"/>
      <c r="G42" s="53"/>
      <c r="H42" s="53"/>
      <c r="I42" s="53"/>
      <c r="J42" s="53"/>
      <c r="K42" s="53"/>
      <c r="L42" s="53"/>
      <c r="M42" s="53"/>
      <c r="N42" s="56"/>
      <c r="O42" s="53"/>
      <c r="P42" s="53"/>
      <c r="Q42" s="53"/>
      <c r="R42" s="53"/>
      <c r="S42" s="53"/>
      <c r="T42" s="53"/>
      <c r="U42" s="53"/>
      <c r="V42" s="53"/>
      <c r="W42" s="53"/>
      <c r="Y42" s="53"/>
    </row>
    <row r="43" spans="2:27">
      <c r="G43" s="163"/>
      <c r="H43" s="163"/>
      <c r="I43" s="163"/>
      <c r="J43" s="163"/>
      <c r="K43" s="163"/>
      <c r="L43" s="163"/>
      <c r="M43" s="163"/>
      <c r="N43" s="163"/>
    </row>
    <row r="44" spans="2:27">
      <c r="G44" s="163"/>
      <c r="H44" s="163"/>
      <c r="I44" s="163"/>
      <c r="J44" s="163"/>
      <c r="K44" s="163"/>
      <c r="L44" s="163"/>
      <c r="M44" s="163"/>
      <c r="N44" s="163"/>
    </row>
    <row r="45" spans="2:27">
      <c r="G45" s="163"/>
      <c r="H45" s="163"/>
      <c r="I45" s="163"/>
      <c r="J45" s="163"/>
      <c r="K45" s="163"/>
      <c r="L45" s="163"/>
      <c r="M45" s="163"/>
      <c r="N45" s="163"/>
    </row>
  </sheetData>
  <mergeCells count="47">
    <mergeCell ref="P5:Q5"/>
    <mergeCell ref="N5:O5"/>
    <mergeCell ref="K5:L5"/>
    <mergeCell ref="G5:H5"/>
    <mergeCell ref="E5:F5"/>
    <mergeCell ref="B3:C3"/>
    <mergeCell ref="E3:W3"/>
    <mergeCell ref="E6:F6"/>
    <mergeCell ref="G6:M6"/>
    <mergeCell ref="N6:W6"/>
    <mergeCell ref="E4:F4"/>
    <mergeCell ref="G4:H4"/>
    <mergeCell ref="K4:L4"/>
    <mergeCell ref="N4:O4"/>
    <mergeCell ref="P4:Q4"/>
    <mergeCell ref="R4:S4"/>
    <mergeCell ref="T4:U4"/>
    <mergeCell ref="V4:W4"/>
    <mergeCell ref="V5:W5"/>
    <mergeCell ref="T5:U5"/>
    <mergeCell ref="R5:S5"/>
    <mergeCell ref="T7:U7"/>
    <mergeCell ref="V7:W7"/>
    <mergeCell ref="G36:H36"/>
    <mergeCell ref="K36:L36"/>
    <mergeCell ref="N36:O36"/>
    <mergeCell ref="P36:Q36"/>
    <mergeCell ref="R36:S36"/>
    <mergeCell ref="T36:U36"/>
    <mergeCell ref="V36:W36"/>
    <mergeCell ref="G7:H7"/>
    <mergeCell ref="K7:L7"/>
    <mergeCell ref="N7:O7"/>
    <mergeCell ref="P7:Q7"/>
    <mergeCell ref="R7:S7"/>
    <mergeCell ref="I7:J7"/>
    <mergeCell ref="I36:J36"/>
    <mergeCell ref="G37:M37"/>
    <mergeCell ref="N37:W37"/>
    <mergeCell ref="G38:W38"/>
    <mergeCell ref="G39:H39"/>
    <mergeCell ref="K39:L39"/>
    <mergeCell ref="N39:O39"/>
    <mergeCell ref="P39:Q39"/>
    <mergeCell ref="R39:S39"/>
    <mergeCell ref="T39:U39"/>
    <mergeCell ref="V39:W3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5D9E-752F-D346-8D40-67E79A7C1ED0}">
  <sheetPr>
    <tabColor rgb="FFD1C1AB"/>
  </sheetPr>
  <dimension ref="B2:AA42"/>
  <sheetViews>
    <sheetView topLeftCell="M8" zoomScale="75" workbookViewId="0">
      <selection activeCell="W10" sqref="W10"/>
    </sheetView>
  </sheetViews>
  <sheetFormatPr defaultColWidth="11" defaultRowHeight="15.75" customHeight="1"/>
  <cols>
    <col min="5" max="5" width="16.625" customWidth="1"/>
    <col min="6" max="6" width="15.125" customWidth="1"/>
    <col min="7" max="7" width="23.125" customWidth="1"/>
    <col min="8" max="8" width="11.875" customWidth="1"/>
    <col min="9" max="9" width="23.125" customWidth="1"/>
    <col min="11" max="11" width="20.125" customWidth="1"/>
    <col min="12" max="12" width="17.875" customWidth="1"/>
    <col min="13" max="13" width="17" customWidth="1"/>
    <col min="14" max="14" width="15.625" customWidth="1"/>
    <col min="16" max="16" width="16.125" customWidth="1"/>
    <col min="18" max="18" width="23.625" customWidth="1"/>
    <col min="20" max="20" width="21.875" customWidth="1"/>
    <col min="21" max="21" width="11.875" customWidth="1"/>
    <col min="22" max="22" width="17.5" customWidth="1"/>
    <col min="23" max="25" width="15.625" customWidth="1"/>
    <col min="27" max="27" width="57.5" customWidth="1"/>
    <col min="28" max="28" width="41.5" customWidth="1"/>
    <col min="29" max="29" width="33" customWidth="1"/>
  </cols>
  <sheetData>
    <row r="2" spans="2:27" ht="15.75" customHeight="1" thickBot="1"/>
    <row r="3" spans="2:27" ht="21.95" thickBot="1">
      <c r="B3" s="484" t="s">
        <v>0</v>
      </c>
      <c r="C3" s="485"/>
      <c r="D3" s="456"/>
      <c r="E3" s="657" t="s">
        <v>299</v>
      </c>
      <c r="F3" s="658"/>
      <c r="G3" s="658"/>
      <c r="H3" s="658"/>
      <c r="I3" s="658"/>
      <c r="J3" s="658"/>
      <c r="K3" s="658"/>
      <c r="L3" s="658"/>
      <c r="M3" s="658"/>
      <c r="N3" s="658"/>
      <c r="O3" s="658"/>
      <c r="P3" s="658"/>
      <c r="Q3" s="658"/>
      <c r="R3" s="658"/>
      <c r="S3" s="658"/>
      <c r="T3" s="658"/>
      <c r="U3" s="658"/>
      <c r="V3" s="658"/>
      <c r="W3" s="659"/>
      <c r="X3" s="53"/>
      <c r="Y3" s="133" t="s">
        <v>150</v>
      </c>
      <c r="Z3" s="89" t="s">
        <v>151</v>
      </c>
      <c r="AA3" s="134"/>
    </row>
    <row r="4" spans="2:27" ht="15.95">
      <c r="B4" s="127" t="s">
        <v>1</v>
      </c>
      <c r="C4" s="128">
        <f>G37</f>
        <v>836.44</v>
      </c>
      <c r="D4" s="458"/>
      <c r="E4" s="654" t="s">
        <v>274</v>
      </c>
      <c r="F4" s="655"/>
      <c r="G4" s="656">
        <v>430</v>
      </c>
      <c r="H4" s="653"/>
      <c r="I4" s="64"/>
      <c r="J4" s="64"/>
      <c r="K4" s="652">
        <v>25</v>
      </c>
      <c r="L4" s="653"/>
      <c r="M4" s="448">
        <v>180</v>
      </c>
      <c r="N4" s="656">
        <v>30</v>
      </c>
      <c r="O4" s="653"/>
      <c r="P4" s="652">
        <v>30</v>
      </c>
      <c r="Q4" s="653"/>
      <c r="R4" s="652">
        <v>50</v>
      </c>
      <c r="S4" s="653"/>
      <c r="T4" s="652"/>
      <c r="U4" s="653"/>
      <c r="V4" s="652"/>
      <c r="W4" s="660"/>
      <c r="X4" s="56">
        <f>SUM(G4:W4)</f>
        <v>745</v>
      </c>
      <c r="Y4" s="135" t="s">
        <v>36</v>
      </c>
      <c r="Z4" s="92" t="s">
        <v>155</v>
      </c>
      <c r="AA4" s="136"/>
    </row>
    <row r="5" spans="2:27" ht="17.100000000000001" thickBot="1">
      <c r="B5" s="129" t="s">
        <v>154</v>
      </c>
      <c r="C5" s="130">
        <f>N37</f>
        <v>455.41</v>
      </c>
      <c r="D5" s="56"/>
      <c r="E5" s="648" t="s">
        <v>275</v>
      </c>
      <c r="F5" s="649"/>
      <c r="G5" s="646">
        <f>G4-G36</f>
        <v>54.449999999999989</v>
      </c>
      <c r="H5" s="645"/>
      <c r="I5" s="442"/>
      <c r="J5" s="442"/>
      <c r="K5" s="643">
        <f>K4-K36</f>
        <v>-9.5600000000000023</v>
      </c>
      <c r="L5" s="647"/>
      <c r="M5" s="441">
        <f>M4-M36</f>
        <v>46.710000000000008</v>
      </c>
      <c r="N5" s="646">
        <f>N4-N36</f>
        <v>12.27</v>
      </c>
      <c r="O5" s="645"/>
      <c r="P5" s="643">
        <f>P4-P36</f>
        <v>-25.299999999999997</v>
      </c>
      <c r="Q5" s="645"/>
      <c r="R5" s="643">
        <f>R4-R36</f>
        <v>10</v>
      </c>
      <c r="S5" s="645"/>
      <c r="T5" s="643">
        <f>T4-T36</f>
        <v>-209.8</v>
      </c>
      <c r="U5" s="645"/>
      <c r="V5" s="643">
        <f>V3-V36</f>
        <v>-132.57999999999998</v>
      </c>
      <c r="W5" s="661"/>
      <c r="X5" s="53"/>
      <c r="Y5" s="135" t="s">
        <v>164</v>
      </c>
      <c r="Z5" s="92" t="s">
        <v>165</v>
      </c>
      <c r="AA5" s="136"/>
    </row>
    <row r="6" spans="2:27" ht="15.95">
      <c r="B6" s="131" t="s">
        <v>227</v>
      </c>
      <c r="C6" s="132">
        <f>C4+C5</f>
        <v>1291.8500000000001</v>
      </c>
      <c r="D6" s="56"/>
      <c r="E6" s="587" t="s">
        <v>276</v>
      </c>
      <c r="F6" s="588"/>
      <c r="G6" s="635" t="s">
        <v>153</v>
      </c>
      <c r="H6" s="590"/>
      <c r="I6" s="590"/>
      <c r="J6" s="590"/>
      <c r="K6" s="590"/>
      <c r="L6" s="590"/>
      <c r="M6" s="590"/>
      <c r="N6" s="636" t="s">
        <v>154</v>
      </c>
      <c r="O6" s="603"/>
      <c r="P6" s="603"/>
      <c r="Q6" s="603"/>
      <c r="R6" s="603"/>
      <c r="S6" s="603"/>
      <c r="T6" s="603"/>
      <c r="U6" s="603"/>
      <c r="V6" s="603"/>
      <c r="W6" s="604"/>
      <c r="X6" s="53"/>
      <c r="Y6" s="135" t="s">
        <v>42</v>
      </c>
      <c r="Z6" s="92"/>
      <c r="AA6" s="136"/>
    </row>
    <row r="7" spans="2:27" ht="15.95">
      <c r="B7" s="59" t="s">
        <v>230</v>
      </c>
      <c r="C7" s="60">
        <f>F36</f>
        <v>34.009999999999991</v>
      </c>
      <c r="D7" s="56"/>
      <c r="E7" s="57" t="s">
        <v>6</v>
      </c>
      <c r="F7" s="58" t="s">
        <v>7</v>
      </c>
      <c r="G7" s="631" t="s">
        <v>156</v>
      </c>
      <c r="H7" s="586"/>
      <c r="I7" s="585" t="s">
        <v>157</v>
      </c>
      <c r="J7" s="586"/>
      <c r="K7" s="593" t="s">
        <v>158</v>
      </c>
      <c r="L7" s="594"/>
      <c r="M7" s="168" t="s">
        <v>9</v>
      </c>
      <c r="N7" s="632" t="s">
        <v>159</v>
      </c>
      <c r="O7" s="596"/>
      <c r="P7" s="583" t="s">
        <v>160</v>
      </c>
      <c r="Q7" s="584"/>
      <c r="R7" s="597" t="s">
        <v>161</v>
      </c>
      <c r="S7" s="597"/>
      <c r="T7" s="600" t="s">
        <v>162</v>
      </c>
      <c r="U7" s="601"/>
      <c r="V7" s="598" t="s">
        <v>163</v>
      </c>
      <c r="W7" s="599"/>
      <c r="X7" s="53"/>
      <c r="Y7" s="135" t="s">
        <v>173</v>
      </c>
      <c r="Z7" s="92" t="s">
        <v>174</v>
      </c>
      <c r="AA7" s="136"/>
    </row>
    <row r="8" spans="2:27" ht="15.95">
      <c r="B8" s="72"/>
      <c r="C8" s="126"/>
      <c r="D8" s="56"/>
      <c r="E8" s="61" t="s">
        <v>175</v>
      </c>
      <c r="F8" s="62">
        <v>1.0900000000000001</v>
      </c>
      <c r="G8" s="446" t="s">
        <v>166</v>
      </c>
      <c r="H8" s="67" t="s">
        <v>7</v>
      </c>
      <c r="I8" s="64"/>
      <c r="J8" s="67"/>
      <c r="K8" s="64" t="s">
        <v>166</v>
      </c>
      <c r="L8" s="64" t="s">
        <v>7</v>
      </c>
      <c r="M8" s="169" t="s">
        <v>7</v>
      </c>
      <c r="N8" s="446" t="s">
        <v>166</v>
      </c>
      <c r="O8" s="67" t="s">
        <v>7</v>
      </c>
      <c r="P8" s="64" t="s">
        <v>166</v>
      </c>
      <c r="Q8" s="67" t="s">
        <v>7</v>
      </c>
      <c r="R8" s="64" t="s">
        <v>166</v>
      </c>
      <c r="S8" s="64" t="s">
        <v>7</v>
      </c>
      <c r="T8" s="87" t="s">
        <v>166</v>
      </c>
      <c r="U8" s="67" t="s">
        <v>7</v>
      </c>
      <c r="V8" s="64" t="s">
        <v>166</v>
      </c>
      <c r="W8" s="449" t="s">
        <v>7</v>
      </c>
      <c r="X8" s="53"/>
      <c r="Y8" s="137" t="s">
        <v>140</v>
      </c>
      <c r="Z8" s="95" t="s">
        <v>183</v>
      </c>
      <c r="AA8" s="138"/>
    </row>
    <row r="9" spans="2:27" ht="15.95">
      <c r="B9" s="53"/>
      <c r="C9" s="56"/>
      <c r="D9" s="56"/>
      <c r="E9" s="61" t="s">
        <v>133</v>
      </c>
      <c r="F9" s="62">
        <v>815</v>
      </c>
      <c r="G9" s="166" t="s">
        <v>167</v>
      </c>
      <c r="H9" s="71">
        <v>175</v>
      </c>
      <c r="I9" s="53" t="s">
        <v>42</v>
      </c>
      <c r="J9" s="71">
        <v>50</v>
      </c>
      <c r="K9" s="56" t="s">
        <v>300</v>
      </c>
      <c r="L9" s="56"/>
      <c r="M9" s="75">
        <v>63.8</v>
      </c>
      <c r="N9" s="171" t="s">
        <v>281</v>
      </c>
      <c r="O9" s="71">
        <v>7.99</v>
      </c>
      <c r="P9" s="56" t="s">
        <v>187</v>
      </c>
      <c r="Q9" s="56">
        <v>18</v>
      </c>
      <c r="R9" s="69" t="s">
        <v>301</v>
      </c>
      <c r="S9" s="71">
        <v>29</v>
      </c>
      <c r="T9" s="159" t="s">
        <v>238</v>
      </c>
      <c r="U9" s="158">
        <v>209.8</v>
      </c>
      <c r="V9" s="154" t="s">
        <v>302</v>
      </c>
      <c r="W9" s="178">
        <v>87</v>
      </c>
      <c r="X9" s="53"/>
      <c r="Y9" s="133" t="s">
        <v>190</v>
      </c>
      <c r="Z9" s="97" t="s">
        <v>191</v>
      </c>
      <c r="AA9" s="134"/>
    </row>
    <row r="10" spans="2:27" ht="15.95">
      <c r="B10" s="53"/>
      <c r="C10" s="53"/>
      <c r="D10" s="56"/>
      <c r="E10" s="61" t="s">
        <v>280</v>
      </c>
      <c r="F10" s="62">
        <v>200</v>
      </c>
      <c r="G10" s="166" t="s">
        <v>240</v>
      </c>
      <c r="H10" s="71">
        <v>18.75</v>
      </c>
      <c r="I10" s="56" t="s">
        <v>42</v>
      </c>
      <c r="J10" s="71">
        <v>55.41</v>
      </c>
      <c r="K10" s="56" t="s">
        <v>286</v>
      </c>
      <c r="L10" s="56"/>
      <c r="M10" s="75">
        <v>15</v>
      </c>
      <c r="N10" s="171" t="s">
        <v>145</v>
      </c>
      <c r="O10" s="71">
        <v>1</v>
      </c>
      <c r="P10" s="56" t="s">
        <v>303</v>
      </c>
      <c r="Q10" s="71">
        <v>8.8000000000000007</v>
      </c>
      <c r="R10" s="53" t="s">
        <v>304</v>
      </c>
      <c r="S10" s="56">
        <v>11</v>
      </c>
      <c r="T10" s="75"/>
      <c r="U10" s="71"/>
      <c r="V10" s="53" t="s">
        <v>305</v>
      </c>
      <c r="W10" s="176"/>
      <c r="X10" s="53"/>
      <c r="Y10" s="135" t="s">
        <v>195</v>
      </c>
      <c r="Z10" s="98" t="s">
        <v>196</v>
      </c>
      <c r="AA10" s="136"/>
    </row>
    <row r="11" spans="2:27" ht="15.95">
      <c r="B11" s="53"/>
      <c r="C11" s="53"/>
      <c r="D11" s="458"/>
      <c r="E11" s="61" t="s">
        <v>306</v>
      </c>
      <c r="F11" s="62">
        <v>50</v>
      </c>
      <c r="G11" s="166" t="s">
        <v>185</v>
      </c>
      <c r="H11" s="71">
        <v>16.8</v>
      </c>
      <c r="I11" s="153" t="s">
        <v>307</v>
      </c>
      <c r="J11" s="151">
        <v>120.91</v>
      </c>
      <c r="K11" t="s">
        <v>266</v>
      </c>
      <c r="L11" s="56">
        <v>19.399999999999999</v>
      </c>
      <c r="M11" s="75">
        <v>4.59</v>
      </c>
      <c r="N11" s="171" t="s">
        <v>308</v>
      </c>
      <c r="O11" s="71">
        <v>0.75</v>
      </c>
      <c r="P11" s="56" t="s">
        <v>309</v>
      </c>
      <c r="Q11" s="71">
        <v>8.5</v>
      </c>
      <c r="R11" s="53"/>
      <c r="S11" s="56"/>
      <c r="T11" s="75"/>
      <c r="U11" s="71"/>
      <c r="V11" s="53" t="s">
        <v>310</v>
      </c>
      <c r="W11" s="176">
        <v>3</v>
      </c>
      <c r="X11" s="53"/>
      <c r="Y11" s="135" t="s">
        <v>201</v>
      </c>
      <c r="Z11" s="98" t="s">
        <v>202</v>
      </c>
      <c r="AA11" s="136"/>
    </row>
    <row r="12" spans="2:27" ht="15.95">
      <c r="B12" s="53"/>
      <c r="C12" s="53"/>
      <c r="D12" s="77"/>
      <c r="E12" s="61" t="s">
        <v>311</v>
      </c>
      <c r="F12" s="62">
        <v>50</v>
      </c>
      <c r="G12" s="166" t="s">
        <v>312</v>
      </c>
      <c r="H12" s="71">
        <v>16</v>
      </c>
      <c r="I12" s="153" t="s">
        <v>313</v>
      </c>
      <c r="J12" s="151">
        <v>31.8</v>
      </c>
      <c r="K12" s="56" t="s">
        <v>314</v>
      </c>
      <c r="L12" s="56">
        <v>4</v>
      </c>
      <c r="M12" s="75">
        <v>7.75</v>
      </c>
      <c r="N12" s="171" t="s">
        <v>281</v>
      </c>
      <c r="O12" s="71">
        <v>7.99</v>
      </c>
      <c r="P12" s="56" t="s">
        <v>315</v>
      </c>
      <c r="Q12" s="71">
        <v>20</v>
      </c>
      <c r="R12" s="53"/>
      <c r="S12" s="56"/>
      <c r="T12" s="75"/>
      <c r="U12" s="71"/>
      <c r="V12" s="53" t="s">
        <v>316</v>
      </c>
      <c r="W12" s="176">
        <v>13.77</v>
      </c>
      <c r="X12" s="53"/>
      <c r="Y12" s="135" t="s">
        <v>204</v>
      </c>
      <c r="Z12" s="98" t="s">
        <v>205</v>
      </c>
      <c r="AA12" s="136"/>
    </row>
    <row r="13" spans="2:27" ht="15.95">
      <c r="B13" s="53"/>
      <c r="C13" s="53"/>
      <c r="D13" s="77"/>
      <c r="E13" s="61" t="s">
        <v>317</v>
      </c>
      <c r="F13" s="62">
        <v>209.77</v>
      </c>
      <c r="G13" s="166" t="s">
        <v>318</v>
      </c>
      <c r="H13" s="71">
        <v>10</v>
      </c>
      <c r="I13" s="153" t="s">
        <v>319</v>
      </c>
      <c r="J13" s="151">
        <v>17.920000000000002</v>
      </c>
      <c r="K13" s="56" t="s">
        <v>320</v>
      </c>
      <c r="L13" s="56">
        <v>11.16</v>
      </c>
      <c r="M13" s="75">
        <v>5.68</v>
      </c>
      <c r="N13" s="171"/>
      <c r="O13" s="71"/>
      <c r="P13" s="56"/>
      <c r="Q13" s="71"/>
      <c r="R13" s="53"/>
      <c r="S13" s="56"/>
      <c r="T13" s="75"/>
      <c r="U13" s="71"/>
      <c r="V13" s="53" t="s">
        <v>316</v>
      </c>
      <c r="W13" s="176">
        <v>20</v>
      </c>
      <c r="X13" s="53"/>
      <c r="Y13" s="137" t="s">
        <v>208</v>
      </c>
      <c r="Z13" s="99" t="s">
        <v>209</v>
      </c>
      <c r="AA13" s="138"/>
    </row>
    <row r="14" spans="2:27" ht="15.95">
      <c r="B14" s="53"/>
      <c r="C14" s="53"/>
      <c r="D14" s="77"/>
      <c r="E14" s="61"/>
      <c r="F14" s="76"/>
      <c r="G14" s="166"/>
      <c r="H14" s="71"/>
      <c r="I14" s="153" t="s">
        <v>321</v>
      </c>
      <c r="J14" s="151">
        <v>10</v>
      </c>
      <c r="K14" s="56"/>
      <c r="L14" s="56"/>
      <c r="M14" s="75">
        <v>9.1</v>
      </c>
      <c r="N14" s="171"/>
      <c r="O14" s="71"/>
      <c r="P14" s="56"/>
      <c r="Q14" s="71"/>
      <c r="R14" s="53"/>
      <c r="S14" s="56"/>
      <c r="T14" s="75"/>
      <c r="U14" s="71"/>
      <c r="V14" s="53" t="s">
        <v>316</v>
      </c>
      <c r="W14" s="176">
        <v>8.81</v>
      </c>
      <c r="X14" s="53"/>
      <c r="Y14" s="133" t="s">
        <v>9</v>
      </c>
      <c r="Z14" s="89" t="s">
        <v>210</v>
      </c>
      <c r="AA14" s="134"/>
    </row>
    <row r="15" spans="2:27" ht="15.95">
      <c r="B15" s="53"/>
      <c r="C15" s="53"/>
      <c r="D15" s="77"/>
      <c r="E15" s="78"/>
      <c r="F15" s="76"/>
      <c r="G15" s="166"/>
      <c r="H15" s="71"/>
      <c r="I15" s="153" t="s">
        <v>322</v>
      </c>
      <c r="J15" s="151">
        <v>1</v>
      </c>
      <c r="K15" s="56"/>
      <c r="L15" s="56"/>
      <c r="M15" s="75">
        <v>2</v>
      </c>
      <c r="N15" s="171"/>
      <c r="O15" s="71"/>
      <c r="P15" s="56"/>
      <c r="Q15" s="71"/>
      <c r="R15" s="53"/>
      <c r="S15" s="56"/>
      <c r="T15" s="75"/>
      <c r="U15" s="71"/>
      <c r="V15" s="53"/>
      <c r="W15" s="176"/>
      <c r="X15" s="53"/>
      <c r="Y15" s="135" t="s">
        <v>36</v>
      </c>
      <c r="Z15" s="98" t="s">
        <v>212</v>
      </c>
      <c r="AA15" s="136"/>
    </row>
    <row r="16" spans="2:27" ht="15.95">
      <c r="B16" s="53"/>
      <c r="C16" s="56"/>
      <c r="D16" s="56"/>
      <c r="E16" s="78"/>
      <c r="F16" s="76"/>
      <c r="G16" s="166"/>
      <c r="H16" s="71"/>
      <c r="I16" s="153" t="s">
        <v>323</v>
      </c>
      <c r="J16" s="151">
        <v>6</v>
      </c>
      <c r="K16" s="56"/>
      <c r="L16" s="56"/>
      <c r="M16" s="75">
        <v>8</v>
      </c>
      <c r="N16" s="171"/>
      <c r="O16" s="71"/>
      <c r="P16" s="56"/>
      <c r="Q16" s="71"/>
      <c r="R16" s="53"/>
      <c r="S16" s="56"/>
      <c r="T16" s="75"/>
      <c r="U16" s="71"/>
      <c r="V16" s="53"/>
      <c r="W16" s="176"/>
      <c r="X16" s="53"/>
      <c r="Y16" s="139" t="s">
        <v>159</v>
      </c>
      <c r="Z16" s="114" t="s">
        <v>214</v>
      </c>
      <c r="AA16" s="140"/>
    </row>
    <row r="17" spans="2:27" ht="15.95">
      <c r="B17" s="53"/>
      <c r="C17" s="56"/>
      <c r="D17" s="458"/>
      <c r="E17" s="61"/>
      <c r="F17" s="62"/>
      <c r="G17" s="167" t="s">
        <v>324</v>
      </c>
      <c r="H17" s="158">
        <v>139</v>
      </c>
      <c r="I17" s="56"/>
      <c r="J17" s="71"/>
      <c r="K17" s="56"/>
      <c r="L17" s="56"/>
      <c r="M17" s="75">
        <v>1.4</v>
      </c>
      <c r="N17" s="171"/>
      <c r="O17" s="71"/>
      <c r="P17" s="56"/>
      <c r="Q17" s="71"/>
      <c r="R17" s="53"/>
      <c r="S17" s="56"/>
      <c r="T17" s="75"/>
      <c r="U17" s="71"/>
      <c r="V17" s="53"/>
      <c r="W17" s="176"/>
      <c r="X17" s="53"/>
      <c r="Y17" s="141" t="s">
        <v>216</v>
      </c>
      <c r="Z17" s="116" t="s">
        <v>296</v>
      </c>
      <c r="AA17" s="142"/>
    </row>
    <row r="18" spans="2:27" ht="15.95">
      <c r="B18" s="53"/>
      <c r="C18" s="53"/>
      <c r="D18" s="77"/>
      <c r="E18" s="79"/>
      <c r="F18" s="80"/>
      <c r="G18" s="171"/>
      <c r="H18" s="71"/>
      <c r="I18" s="53"/>
      <c r="J18" s="71"/>
      <c r="K18" s="56"/>
      <c r="L18" s="56"/>
      <c r="M18" s="75">
        <v>7.62</v>
      </c>
      <c r="N18" s="171"/>
      <c r="O18" s="71"/>
      <c r="P18" s="56"/>
      <c r="Q18" s="71"/>
      <c r="R18" s="53"/>
      <c r="S18" s="56"/>
      <c r="T18" s="75"/>
      <c r="U18" s="71"/>
      <c r="V18" s="53"/>
      <c r="W18" s="176"/>
      <c r="X18" s="53"/>
      <c r="Y18" s="139" t="s">
        <v>161</v>
      </c>
      <c r="Z18" s="101" t="s">
        <v>219</v>
      </c>
      <c r="AA18" s="140"/>
    </row>
    <row r="19" spans="2:27" ht="15.95">
      <c r="B19" s="53"/>
      <c r="C19" s="53"/>
      <c r="D19" s="77"/>
      <c r="E19" s="78"/>
      <c r="F19" s="76"/>
      <c r="G19" s="166"/>
      <c r="H19" s="71"/>
      <c r="I19" s="56"/>
      <c r="J19" s="71"/>
      <c r="K19" s="56"/>
      <c r="L19" s="56"/>
      <c r="M19" s="75">
        <v>2.38</v>
      </c>
      <c r="N19" s="171"/>
      <c r="O19" s="71"/>
      <c r="P19" s="56"/>
      <c r="Q19" s="71"/>
      <c r="R19" s="53"/>
      <c r="S19" s="56"/>
      <c r="T19" s="75"/>
      <c r="U19" s="71"/>
      <c r="V19" s="53"/>
      <c r="W19" s="176"/>
      <c r="X19" s="53"/>
      <c r="Y19" s="143" t="s">
        <v>220</v>
      </c>
      <c r="Z19" s="104"/>
      <c r="AA19" s="144"/>
    </row>
    <row r="20" spans="2:27" ht="15.95">
      <c r="B20" s="53"/>
      <c r="C20" s="53"/>
      <c r="D20" s="77"/>
      <c r="E20" s="78"/>
      <c r="F20" s="76"/>
      <c r="G20" s="166"/>
      <c r="H20" s="71"/>
      <c r="I20" s="56"/>
      <c r="J20" s="71"/>
      <c r="K20" s="56"/>
      <c r="L20" s="56"/>
      <c r="M20" s="75">
        <v>3.23</v>
      </c>
      <c r="N20" s="171"/>
      <c r="O20" s="71"/>
      <c r="P20" s="56"/>
      <c r="Q20" s="71"/>
      <c r="R20" s="53"/>
      <c r="S20" s="56"/>
      <c r="T20" s="75"/>
      <c r="U20" s="71"/>
      <c r="V20" s="53"/>
      <c r="W20" s="177"/>
      <c r="X20" s="53"/>
      <c r="Y20" s="139" t="s">
        <v>162</v>
      </c>
      <c r="Z20" s="101"/>
      <c r="AA20" s="140"/>
    </row>
    <row r="21" spans="2:27" ht="15.95">
      <c r="B21" s="53"/>
      <c r="C21" s="53"/>
      <c r="D21" s="77"/>
      <c r="E21" s="78"/>
      <c r="F21" s="76"/>
      <c r="G21" s="166"/>
      <c r="H21" s="71"/>
      <c r="I21" s="56"/>
      <c r="J21" s="71"/>
      <c r="K21" s="56"/>
      <c r="L21" s="56"/>
      <c r="M21" s="75">
        <v>2.74</v>
      </c>
      <c r="N21" s="171"/>
      <c r="O21" s="71"/>
      <c r="P21" s="56"/>
      <c r="Q21" s="71"/>
      <c r="R21" s="53"/>
      <c r="S21" s="56"/>
      <c r="T21" s="75"/>
      <c r="U21" s="71"/>
      <c r="V21" s="53"/>
      <c r="W21" s="176"/>
      <c r="X21" s="53"/>
      <c r="Y21" s="143" t="s">
        <v>221</v>
      </c>
      <c r="Z21" s="104"/>
      <c r="AA21" s="144"/>
    </row>
    <row r="22" spans="2:27" ht="15.95">
      <c r="B22" s="53"/>
      <c r="C22" s="53"/>
      <c r="D22" s="77"/>
      <c r="E22" s="78"/>
      <c r="F22" s="76"/>
      <c r="G22" s="166"/>
      <c r="H22" s="71"/>
      <c r="I22" s="56"/>
      <c r="J22" s="71"/>
      <c r="K22" s="56"/>
      <c r="L22" s="56"/>
      <c r="M22" s="75"/>
      <c r="N22" s="171"/>
      <c r="O22" s="71"/>
      <c r="P22" s="56"/>
      <c r="Q22" s="71"/>
      <c r="R22" s="53"/>
      <c r="S22" s="56"/>
      <c r="T22" s="75"/>
      <c r="U22" s="71"/>
      <c r="V22" s="53"/>
      <c r="W22" s="176"/>
      <c r="X22" s="53"/>
      <c r="Y22" s="145" t="s">
        <v>222</v>
      </c>
      <c r="Z22" s="108"/>
      <c r="AA22" s="146"/>
    </row>
    <row r="23" spans="2:27" ht="15.95">
      <c r="B23" s="53"/>
      <c r="C23" s="53"/>
      <c r="D23" s="77"/>
      <c r="E23" s="68"/>
      <c r="F23" s="74"/>
      <c r="G23" s="166"/>
      <c r="H23" s="71"/>
      <c r="I23" s="56"/>
      <c r="J23" s="71"/>
      <c r="K23" s="56"/>
      <c r="L23" s="56"/>
      <c r="M23" s="75"/>
      <c r="N23" s="171"/>
      <c r="O23" s="71"/>
      <c r="P23" s="56"/>
      <c r="Q23" s="71"/>
      <c r="R23" s="53"/>
      <c r="S23" s="56"/>
      <c r="T23" s="75"/>
      <c r="U23" s="71"/>
      <c r="V23" s="53"/>
      <c r="W23" s="176"/>
      <c r="X23" s="53"/>
      <c r="Y23" s="139" t="s">
        <v>163</v>
      </c>
      <c r="Z23" s="101"/>
      <c r="AA23" s="140"/>
    </row>
    <row r="24" spans="2:27" ht="15.95">
      <c r="B24" s="53"/>
      <c r="C24" s="53"/>
      <c r="D24" s="53"/>
      <c r="E24" s="68"/>
      <c r="F24" s="74"/>
      <c r="G24" s="166"/>
      <c r="H24" s="71"/>
      <c r="I24" s="56"/>
      <c r="J24" s="71"/>
      <c r="K24" s="56"/>
      <c r="L24" s="56"/>
      <c r="M24" s="75"/>
      <c r="N24" s="171"/>
      <c r="O24" s="71"/>
      <c r="P24" s="56"/>
      <c r="Q24" s="71"/>
      <c r="R24" s="53"/>
      <c r="S24" s="56"/>
      <c r="T24" s="75"/>
      <c r="U24" s="71"/>
      <c r="V24" s="53"/>
      <c r="W24" s="176"/>
      <c r="X24" s="53"/>
      <c r="Y24" s="143" t="s">
        <v>138</v>
      </c>
      <c r="Z24" s="106" t="s">
        <v>223</v>
      </c>
      <c r="AA24" s="144"/>
    </row>
    <row r="25" spans="2:27" ht="15.95">
      <c r="B25" s="53"/>
      <c r="C25" s="53"/>
      <c r="D25" s="53"/>
      <c r="E25" s="68"/>
      <c r="F25" s="74"/>
      <c r="G25" s="166"/>
      <c r="H25" s="71"/>
      <c r="I25" s="56"/>
      <c r="J25" s="71"/>
      <c r="K25" s="56"/>
      <c r="L25" s="56"/>
      <c r="M25" s="75"/>
      <c r="N25" s="171"/>
      <c r="O25" s="71"/>
      <c r="P25" s="56"/>
      <c r="Q25" s="71"/>
      <c r="R25" s="53"/>
      <c r="S25" s="56"/>
      <c r="T25" s="75"/>
      <c r="U25" s="71"/>
      <c r="V25" s="53"/>
      <c r="W25" s="176"/>
      <c r="X25" s="53"/>
      <c r="Y25" s="143" t="s">
        <v>224</v>
      </c>
      <c r="Z25" s="104" t="s">
        <v>225</v>
      </c>
      <c r="AA25" s="144"/>
    </row>
    <row r="26" spans="2:27" ht="17.100000000000001" thickBot="1">
      <c r="B26" s="53"/>
      <c r="C26" s="53"/>
      <c r="D26" s="53"/>
      <c r="E26" s="68"/>
      <c r="F26" s="74"/>
      <c r="G26" s="166"/>
      <c r="H26" s="71"/>
      <c r="I26" s="56"/>
      <c r="J26" s="71"/>
      <c r="K26" s="56"/>
      <c r="L26" s="56"/>
      <c r="M26" s="75"/>
      <c r="N26" s="171"/>
      <c r="O26" s="71"/>
      <c r="P26" s="56"/>
      <c r="Q26" s="71"/>
      <c r="R26" s="53"/>
      <c r="S26" s="56"/>
      <c r="T26" s="75"/>
      <c r="U26" s="71"/>
      <c r="V26" s="53"/>
      <c r="W26" s="176"/>
      <c r="X26" s="53"/>
      <c r="Y26" s="147" t="s">
        <v>226</v>
      </c>
      <c r="Z26" s="148"/>
      <c r="AA26" s="149"/>
    </row>
    <row r="27" spans="2:27" ht="15.95">
      <c r="B27" s="53"/>
      <c r="C27" s="53"/>
      <c r="D27" s="53"/>
      <c r="E27" s="68"/>
      <c r="F27" s="74"/>
      <c r="G27" s="166"/>
      <c r="H27" s="71"/>
      <c r="I27" s="56"/>
      <c r="J27" s="71"/>
      <c r="K27" s="56"/>
      <c r="L27" s="56"/>
      <c r="M27" s="75"/>
      <c r="N27" s="171"/>
      <c r="O27" s="71"/>
      <c r="P27" s="56"/>
      <c r="Q27" s="71"/>
      <c r="R27" s="53"/>
      <c r="S27" s="56"/>
      <c r="T27" s="75"/>
      <c r="U27" s="71"/>
      <c r="V27" s="53"/>
      <c r="W27" s="176"/>
      <c r="X27" s="53"/>
      <c r="Y27" s="53"/>
    </row>
    <row r="28" spans="2:27" ht="15.95">
      <c r="B28" s="53"/>
      <c r="C28" s="53"/>
      <c r="D28" s="53"/>
      <c r="E28" s="68"/>
      <c r="F28" s="74"/>
      <c r="G28" s="166"/>
      <c r="H28" s="71"/>
      <c r="I28" s="56"/>
      <c r="J28" s="71"/>
      <c r="K28" s="56"/>
      <c r="L28" s="56"/>
      <c r="M28" s="75"/>
      <c r="N28" s="171"/>
      <c r="O28" s="71"/>
      <c r="P28" s="56"/>
      <c r="Q28" s="71"/>
      <c r="R28" s="53"/>
      <c r="S28" s="56"/>
      <c r="T28" s="75"/>
      <c r="U28" s="71"/>
      <c r="V28" s="53"/>
      <c r="W28" s="176"/>
      <c r="X28" s="53"/>
      <c r="Y28" s="53"/>
    </row>
    <row r="29" spans="2:27" ht="15.95">
      <c r="B29" s="53"/>
      <c r="C29" s="53"/>
      <c r="D29" s="53"/>
      <c r="E29" s="68"/>
      <c r="F29" s="74"/>
      <c r="G29" s="166"/>
      <c r="H29" s="71"/>
      <c r="I29" s="56"/>
      <c r="J29" s="71"/>
      <c r="K29" s="56"/>
      <c r="L29" s="56"/>
      <c r="M29" s="75"/>
      <c r="N29" s="171"/>
      <c r="O29" s="71"/>
      <c r="P29" s="56"/>
      <c r="Q29" s="71"/>
      <c r="R29" s="53"/>
      <c r="S29" s="56"/>
      <c r="T29" s="75"/>
      <c r="U29" s="71"/>
      <c r="V29" s="53"/>
      <c r="W29" s="176"/>
      <c r="X29" s="53"/>
      <c r="Y29" s="53"/>
    </row>
    <row r="30" spans="2:27" ht="15.95">
      <c r="B30" s="53"/>
      <c r="C30" s="53"/>
      <c r="D30" s="53"/>
      <c r="E30" s="68"/>
      <c r="F30" s="74"/>
      <c r="G30" s="166"/>
      <c r="H30" s="71"/>
      <c r="I30" s="56"/>
      <c r="J30" s="71"/>
      <c r="K30" s="56"/>
      <c r="L30" s="56"/>
      <c r="M30" s="75"/>
      <c r="N30" s="171"/>
      <c r="O30" s="71"/>
      <c r="P30" s="56"/>
      <c r="Q30" s="71"/>
      <c r="R30" s="53"/>
      <c r="S30" s="56"/>
      <c r="T30" s="75"/>
      <c r="U30" s="71"/>
      <c r="V30" s="53"/>
      <c r="W30" s="176"/>
      <c r="X30" s="53"/>
      <c r="Y30" s="53"/>
    </row>
    <row r="31" spans="2:27" ht="15.95">
      <c r="B31" s="53"/>
      <c r="C31" s="53"/>
      <c r="D31" s="53"/>
      <c r="E31" s="68" t="s">
        <v>227</v>
      </c>
      <c r="F31" s="62">
        <f>SUM(F8:F30)</f>
        <v>1325.8600000000001</v>
      </c>
      <c r="G31" s="166"/>
      <c r="H31" s="71"/>
      <c r="I31" s="56"/>
      <c r="J31" s="71"/>
      <c r="K31" s="56"/>
      <c r="L31" s="56"/>
      <c r="M31" s="75"/>
      <c r="N31" s="171"/>
      <c r="O31" s="71"/>
      <c r="P31" s="56"/>
      <c r="Q31" s="71"/>
      <c r="R31" s="53"/>
      <c r="S31" s="56"/>
      <c r="T31" s="75"/>
      <c r="U31" s="71"/>
      <c r="V31" s="53"/>
      <c r="W31" s="176"/>
      <c r="X31" s="53"/>
      <c r="Y31" s="53"/>
      <c r="AA31" s="112"/>
    </row>
    <row r="32" spans="2:27" ht="15.95">
      <c r="B32" s="53"/>
      <c r="C32" s="53"/>
      <c r="D32" s="53"/>
      <c r="E32" s="68" t="s">
        <v>228</v>
      </c>
      <c r="F32" s="62"/>
      <c r="G32" s="166"/>
      <c r="H32" s="71"/>
      <c r="I32" s="56"/>
      <c r="J32" s="71"/>
      <c r="K32" s="56"/>
      <c r="L32" s="56"/>
      <c r="M32" s="75"/>
      <c r="N32" s="171"/>
      <c r="O32" s="71"/>
      <c r="P32" s="56"/>
      <c r="Q32" s="71"/>
      <c r="R32" s="53"/>
      <c r="S32" s="56"/>
      <c r="T32" s="75"/>
      <c r="U32" s="71"/>
      <c r="V32" s="53"/>
      <c r="W32" s="176"/>
      <c r="X32" s="53"/>
      <c r="Y32" s="53"/>
      <c r="AA32" s="112"/>
    </row>
    <row r="33" spans="2:27" ht="15.95">
      <c r="B33" s="53"/>
      <c r="C33" s="53"/>
      <c r="D33" s="53"/>
      <c r="E33" s="68" t="s">
        <v>270</v>
      </c>
      <c r="F33" s="62"/>
      <c r="G33" s="166"/>
      <c r="H33" s="71"/>
      <c r="I33" s="56"/>
      <c r="J33" s="71"/>
      <c r="K33" s="56"/>
      <c r="L33" s="56"/>
      <c r="M33" s="75"/>
      <c r="N33" s="171"/>
      <c r="O33" s="71"/>
      <c r="P33" s="56"/>
      <c r="Q33" s="71"/>
      <c r="R33" s="53"/>
      <c r="S33" s="56"/>
      <c r="T33" s="75"/>
      <c r="U33" s="71"/>
      <c r="V33" s="53"/>
      <c r="W33" s="176"/>
      <c r="X33" s="53"/>
      <c r="Y33" s="53"/>
      <c r="AA33" s="112"/>
    </row>
    <row r="34" spans="2:27" ht="15.95">
      <c r="B34" s="53"/>
      <c r="C34" s="53"/>
      <c r="D34" s="53"/>
      <c r="E34" s="68" t="s">
        <v>271</v>
      </c>
      <c r="F34" s="62"/>
      <c r="G34" s="166"/>
      <c r="H34" s="71"/>
      <c r="I34" s="56"/>
      <c r="J34" s="71"/>
      <c r="K34" s="56"/>
      <c r="L34" s="56"/>
      <c r="M34" s="75"/>
      <c r="N34" s="171"/>
      <c r="O34" s="71"/>
      <c r="P34" s="56"/>
      <c r="Q34" s="71"/>
      <c r="R34" s="53"/>
      <c r="S34" s="56"/>
      <c r="T34" s="75"/>
      <c r="U34" s="71"/>
      <c r="V34" s="53"/>
      <c r="W34" s="176"/>
      <c r="X34" s="53"/>
      <c r="Y34" s="53"/>
      <c r="AA34" s="112"/>
    </row>
    <row r="35" spans="2:27" ht="15.95">
      <c r="B35" s="53"/>
      <c r="C35" s="53"/>
      <c r="D35" s="53"/>
      <c r="E35" s="122" t="s">
        <v>229</v>
      </c>
      <c r="F35" s="164">
        <f>F31-F32-F33-F34</f>
        <v>1325.8600000000001</v>
      </c>
      <c r="G35" s="166"/>
      <c r="H35" s="71"/>
      <c r="I35" s="56"/>
      <c r="J35" s="71"/>
      <c r="K35" s="56"/>
      <c r="L35" s="56"/>
      <c r="M35" s="75"/>
      <c r="N35" s="171"/>
      <c r="O35" s="71"/>
      <c r="P35" s="56"/>
      <c r="Q35" s="71"/>
      <c r="R35" s="53"/>
      <c r="S35" s="56"/>
      <c r="T35" s="75"/>
      <c r="U35" s="71"/>
      <c r="V35" s="53"/>
      <c r="W35" s="176"/>
      <c r="X35" s="53"/>
      <c r="Y35" s="53"/>
      <c r="AA35" s="112"/>
    </row>
    <row r="36" spans="2:27" ht="17.100000000000001" thickBot="1">
      <c r="B36" s="53"/>
      <c r="C36" s="53"/>
      <c r="D36" s="53"/>
      <c r="E36" s="124" t="s">
        <v>230</v>
      </c>
      <c r="F36" s="165">
        <f>F35-G38</f>
        <v>34.009999999999991</v>
      </c>
      <c r="G36" s="625">
        <f>SUM(H9:H35)</f>
        <v>375.55</v>
      </c>
      <c r="H36" s="626"/>
      <c r="I36" s="629">
        <f>SUM(J9:J35)</f>
        <v>293.04000000000002</v>
      </c>
      <c r="J36" s="626"/>
      <c r="K36" s="627">
        <f>SUM(L9:L35)</f>
        <v>34.56</v>
      </c>
      <c r="L36" s="627"/>
      <c r="M36" s="174">
        <f>SUM(M9:M35)</f>
        <v>133.29</v>
      </c>
      <c r="N36" s="625">
        <f>SUM(O9:O35)</f>
        <v>17.73</v>
      </c>
      <c r="O36" s="626"/>
      <c r="P36" s="628">
        <f>SUM(Q9:Q35)</f>
        <v>55.3</v>
      </c>
      <c r="Q36" s="626"/>
      <c r="R36" s="628">
        <f>SUM(S9:S35)</f>
        <v>40</v>
      </c>
      <c r="S36" s="628"/>
      <c r="T36" s="629">
        <f>SUM(U9:U35)</f>
        <v>209.8</v>
      </c>
      <c r="U36" s="626"/>
      <c r="V36" s="628">
        <f>SUM(W9:W35)</f>
        <v>132.57999999999998</v>
      </c>
      <c r="W36" s="650"/>
      <c r="X36" s="53"/>
      <c r="Y36" s="53"/>
      <c r="AA36" s="112"/>
    </row>
    <row r="37" spans="2:27" ht="17.100000000000001" thickBot="1">
      <c r="B37" s="53"/>
      <c r="C37" s="53"/>
      <c r="D37" s="53"/>
      <c r="E37" s="56"/>
      <c r="F37" s="62"/>
      <c r="G37" s="614">
        <f>SUM(G36:M36)</f>
        <v>836.44</v>
      </c>
      <c r="H37" s="615"/>
      <c r="I37" s="615"/>
      <c r="J37" s="615"/>
      <c r="K37" s="615"/>
      <c r="L37" s="615"/>
      <c r="M37" s="616"/>
      <c r="N37" s="617">
        <f>SUM(N36:W36)</f>
        <v>455.41</v>
      </c>
      <c r="O37" s="618"/>
      <c r="P37" s="618"/>
      <c r="Q37" s="618"/>
      <c r="R37" s="618"/>
      <c r="S37" s="618"/>
      <c r="T37" s="618"/>
      <c r="U37" s="618"/>
      <c r="V37" s="618"/>
      <c r="W37" s="651"/>
      <c r="X37" s="53"/>
      <c r="Y37" s="53"/>
    </row>
    <row r="38" spans="2:27" ht="21" thickTop="1" thickBot="1">
      <c r="B38" s="53"/>
      <c r="C38" s="53"/>
      <c r="D38" s="53"/>
      <c r="E38" s="53"/>
      <c r="F38" s="162"/>
      <c r="G38" s="620">
        <f>SUM(G37:W37)</f>
        <v>1291.8500000000001</v>
      </c>
      <c r="H38" s="620"/>
      <c r="I38" s="620"/>
      <c r="J38" s="620"/>
      <c r="K38" s="620"/>
      <c r="L38" s="620"/>
      <c r="M38" s="620"/>
      <c r="N38" s="620"/>
      <c r="O38" s="620"/>
      <c r="P38" s="620"/>
      <c r="Q38" s="620"/>
      <c r="R38" s="620"/>
      <c r="S38" s="620"/>
      <c r="T38" s="620"/>
      <c r="U38" s="620"/>
      <c r="V38" s="620"/>
      <c r="W38" s="621"/>
      <c r="X38" s="56"/>
      <c r="Y38" s="53"/>
    </row>
    <row r="39" spans="2:27" ht="15.95">
      <c r="B39" s="53"/>
      <c r="C39" s="53"/>
      <c r="D39" s="53"/>
      <c r="E39" s="53"/>
      <c r="F39" s="450"/>
      <c r="G39" s="160"/>
      <c r="H39" s="160"/>
      <c r="I39" s="444"/>
      <c r="J39" s="444"/>
      <c r="K39" s="622"/>
      <c r="L39" s="622"/>
      <c r="M39" s="160"/>
      <c r="N39" s="622"/>
      <c r="O39" s="622"/>
      <c r="P39" s="622"/>
      <c r="Q39" s="622"/>
      <c r="R39" s="623"/>
      <c r="S39" s="623"/>
      <c r="T39" s="623"/>
      <c r="U39" s="623"/>
      <c r="V39" s="623"/>
      <c r="W39" s="623"/>
      <c r="X39" s="450"/>
      <c r="Y39" s="450"/>
      <c r="Z39" s="53"/>
      <c r="AA39" s="53"/>
    </row>
    <row r="40" spans="2:27" ht="15.95"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6"/>
    </row>
    <row r="41" spans="2:27" ht="15.95">
      <c r="E41" s="53"/>
      <c r="F41" s="53"/>
      <c r="G41" s="53"/>
      <c r="H41" s="53"/>
      <c r="I41" s="53"/>
      <c r="J41" s="53"/>
      <c r="K41" s="53"/>
      <c r="L41" s="53"/>
      <c r="M41" s="53"/>
      <c r="N41" s="56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AA41" s="53"/>
    </row>
    <row r="42" spans="2:27" ht="15.95">
      <c r="E42" s="53"/>
      <c r="F42" s="53"/>
      <c r="G42" s="53"/>
      <c r="H42" s="53"/>
      <c r="I42" s="53"/>
      <c r="J42" s="53"/>
      <c r="K42" s="53"/>
      <c r="L42" s="53"/>
      <c r="M42" s="53"/>
      <c r="N42" s="56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AA42" s="53"/>
    </row>
  </sheetData>
  <mergeCells count="46">
    <mergeCell ref="E6:F6"/>
    <mergeCell ref="B3:C3"/>
    <mergeCell ref="E4:F4"/>
    <mergeCell ref="G4:H4"/>
    <mergeCell ref="N4:O4"/>
    <mergeCell ref="E3:W3"/>
    <mergeCell ref="V4:W4"/>
    <mergeCell ref="V5:W5"/>
    <mergeCell ref="N5:O5"/>
    <mergeCell ref="G6:M6"/>
    <mergeCell ref="N6:W6"/>
    <mergeCell ref="P4:Q4"/>
    <mergeCell ref="K4:L4"/>
    <mergeCell ref="E5:F5"/>
    <mergeCell ref="R5:S5"/>
    <mergeCell ref="T5:U5"/>
    <mergeCell ref="G5:H5"/>
    <mergeCell ref="P5:Q5"/>
    <mergeCell ref="R4:S4"/>
    <mergeCell ref="K5:L5"/>
    <mergeCell ref="T4:U4"/>
    <mergeCell ref="V39:W39"/>
    <mergeCell ref="K36:L36"/>
    <mergeCell ref="V36:W36"/>
    <mergeCell ref="G37:M37"/>
    <mergeCell ref="N37:W37"/>
    <mergeCell ref="G38:W38"/>
    <mergeCell ref="R39:S39"/>
    <mergeCell ref="T39:U39"/>
    <mergeCell ref="N39:O39"/>
    <mergeCell ref="P39:Q39"/>
    <mergeCell ref="K39:L39"/>
    <mergeCell ref="R36:S36"/>
    <mergeCell ref="P36:Q36"/>
    <mergeCell ref="T36:U36"/>
    <mergeCell ref="V7:W7"/>
    <mergeCell ref="G36:H36"/>
    <mergeCell ref="I36:J36"/>
    <mergeCell ref="N36:O36"/>
    <mergeCell ref="G7:H7"/>
    <mergeCell ref="I7:J7"/>
    <mergeCell ref="N7:O7"/>
    <mergeCell ref="K7:L7"/>
    <mergeCell ref="T7:U7"/>
    <mergeCell ref="R7:S7"/>
    <mergeCell ref="P7:Q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C228-AD64-BB4B-983E-523F7926EF8B}">
  <sheetPr>
    <tabColor rgb="FF08FC04"/>
  </sheetPr>
  <dimension ref="A1:AG18"/>
  <sheetViews>
    <sheetView showGridLines="0" zoomScale="119" workbookViewId="0">
      <pane xSplit="1" topLeftCell="AF10" activePane="topRight" state="frozen"/>
      <selection pane="topRight" activeCell="AF9" sqref="AF9"/>
    </sheetView>
  </sheetViews>
  <sheetFormatPr defaultColWidth="8.875" defaultRowHeight="15" outlineLevelCol="2"/>
  <cols>
    <col min="1" max="1" width="18.125" style="179" customWidth="1"/>
    <col min="2" max="2" width="11.375" style="179" customWidth="1"/>
    <col min="3" max="3" width="7.5" style="179" customWidth="1" outlineLevel="1"/>
    <col min="4" max="4" width="11.875" style="181" customWidth="1"/>
    <col min="5" max="6" width="14" style="179" hidden="1" customWidth="1" outlineLevel="1"/>
    <col min="7" max="7" width="7.125" style="179" customWidth="1" outlineLevel="1"/>
    <col min="8" max="8" width="11.875" style="179" customWidth="1"/>
    <col min="9" max="9" width="10.625" style="179" hidden="1" customWidth="1" outlineLevel="1"/>
    <col min="10" max="10" width="0.125" style="179" hidden="1" customWidth="1" outlineLevel="1"/>
    <col min="11" max="11" width="8" style="180" customWidth="1" outlineLevel="1"/>
    <col min="12" max="12" width="9.625" style="179" customWidth="1"/>
    <col min="13" max="13" width="10.625" style="179" hidden="1" customWidth="1" outlineLevel="2"/>
    <col min="14" max="14" width="0.125" style="179" hidden="1" customWidth="1" outlineLevel="2"/>
    <col min="15" max="15" width="8.625" style="180" customWidth="1" outlineLevel="2"/>
    <col min="16" max="16" width="10.625" style="181" customWidth="1" outlineLevel="2"/>
    <col min="17" max="17" width="7.625" style="180" customWidth="1" outlineLevel="2"/>
    <col min="18" max="18" width="10.625" style="181" customWidth="1" outlineLevel="2"/>
    <col min="19" max="19" width="10.625" style="180" customWidth="1" outlineLevel="2"/>
    <col min="20" max="20" width="8.875" style="181"/>
    <col min="21" max="21" width="8.875" style="179"/>
    <col min="22" max="22" width="8.875" style="181"/>
    <col min="23" max="23" width="8.875" style="179"/>
    <col min="24" max="24" width="1" style="181" customWidth="1"/>
    <col min="25" max="25" width="0.625" style="179" customWidth="1"/>
    <col min="26" max="26" width="0.5" style="181" customWidth="1"/>
    <col min="27" max="27" width="0.5" style="179" hidden="1" customWidth="1"/>
    <col min="28" max="28" width="1.625" style="181" hidden="1" customWidth="1"/>
    <col min="29" max="29" width="0.125" style="179" hidden="1" customWidth="1"/>
    <col min="30" max="30" width="0.125" style="181" hidden="1" customWidth="1"/>
    <col min="31" max="31" width="1.125" style="179" customWidth="1"/>
    <col min="32" max="32" width="8.875" style="181"/>
    <col min="33" max="33" width="8.875" style="180"/>
    <col min="34" max="16384" width="8.875" style="179"/>
  </cols>
  <sheetData>
    <row r="1" spans="1:33">
      <c r="A1" s="223"/>
      <c r="B1" s="665" t="s">
        <v>2</v>
      </c>
      <c r="C1" s="666"/>
      <c r="D1" s="665" t="s">
        <v>63</v>
      </c>
      <c r="E1" s="667"/>
      <c r="F1" s="667"/>
      <c r="G1" s="666"/>
      <c r="H1" s="665" t="s">
        <v>96</v>
      </c>
      <c r="I1" s="667"/>
      <c r="J1" s="667"/>
      <c r="K1" s="666"/>
      <c r="L1" s="665" t="s">
        <v>124</v>
      </c>
      <c r="M1" s="667"/>
      <c r="N1" s="667"/>
      <c r="O1" s="667"/>
      <c r="P1" s="665" t="s">
        <v>149</v>
      </c>
      <c r="Q1" s="666"/>
      <c r="R1" s="665" t="s">
        <v>233</v>
      </c>
      <c r="S1" s="666"/>
      <c r="T1" s="665" t="s">
        <v>273</v>
      </c>
      <c r="U1" s="666"/>
      <c r="V1" s="665" t="s">
        <v>299</v>
      </c>
      <c r="W1" s="666"/>
      <c r="X1" s="662">
        <v>44927</v>
      </c>
      <c r="Y1" s="663"/>
      <c r="Z1" s="662">
        <v>44958</v>
      </c>
      <c r="AA1" s="663"/>
      <c r="AB1" s="662">
        <v>44986</v>
      </c>
      <c r="AC1" s="663"/>
      <c r="AD1" s="662">
        <v>45017</v>
      </c>
      <c r="AE1" s="663"/>
      <c r="AF1" s="664" t="s">
        <v>325</v>
      </c>
      <c r="AG1" s="664"/>
    </row>
    <row r="2" spans="1:33" ht="33" customHeight="1">
      <c r="A2" s="222"/>
      <c r="B2" s="220" t="s">
        <v>326</v>
      </c>
      <c r="C2" s="221" t="s">
        <v>327</v>
      </c>
      <c r="D2" s="217" t="s">
        <v>326</v>
      </c>
      <c r="E2" s="219" t="s">
        <v>327</v>
      </c>
      <c r="F2" s="219" t="s">
        <v>328</v>
      </c>
      <c r="G2" s="221" t="s">
        <v>327</v>
      </c>
      <c r="H2" s="220" t="s">
        <v>326</v>
      </c>
      <c r="I2" s="219" t="s">
        <v>327</v>
      </c>
      <c r="J2" s="219" t="s">
        <v>328</v>
      </c>
      <c r="K2" s="216" t="s">
        <v>327</v>
      </c>
      <c r="L2" s="220" t="s">
        <v>326</v>
      </c>
      <c r="M2" s="219" t="s">
        <v>327</v>
      </c>
      <c r="N2" s="219" t="s">
        <v>328</v>
      </c>
      <c r="O2" s="218" t="s">
        <v>327</v>
      </c>
      <c r="P2" s="217" t="s">
        <v>326</v>
      </c>
      <c r="Q2" s="218" t="s">
        <v>327</v>
      </c>
      <c r="R2" s="217" t="s">
        <v>326</v>
      </c>
      <c r="S2" s="218" t="s">
        <v>327</v>
      </c>
      <c r="T2" s="217" t="s">
        <v>326</v>
      </c>
      <c r="U2" s="218" t="s">
        <v>327</v>
      </c>
      <c r="V2" s="217" t="s">
        <v>326</v>
      </c>
      <c r="W2" s="218" t="s">
        <v>327</v>
      </c>
      <c r="X2" s="226"/>
      <c r="Y2" s="227"/>
      <c r="Z2" s="226"/>
      <c r="AA2" s="227"/>
      <c r="AB2" s="226"/>
      <c r="AC2" s="227"/>
      <c r="AD2" s="226"/>
      <c r="AE2" s="227"/>
      <c r="AF2" s="215" t="s">
        <v>326</v>
      </c>
      <c r="AG2" s="214" t="s">
        <v>327</v>
      </c>
    </row>
    <row r="3" spans="1:33" ht="15.95">
      <c r="A3" s="213" t="s">
        <v>156</v>
      </c>
      <c r="B3" s="207">
        <v>497.7</v>
      </c>
      <c r="C3" s="208">
        <f>B3/$B$15</f>
        <v>0.33609756756391729</v>
      </c>
      <c r="D3" s="209">
        <v>356.35</v>
      </c>
      <c r="E3" s="206">
        <f t="shared" ref="E3:E14" si="0">D3/$D$15</f>
        <v>0.42380742837434449</v>
      </c>
      <c r="F3" s="206" t="e">
        <f>D3/#REF!</f>
        <v>#REF!</v>
      </c>
      <c r="G3" s="208">
        <f t="shared" ref="G3:G14" si="1">D3/$D$15</f>
        <v>0.42380742837434449</v>
      </c>
      <c r="H3" s="207">
        <v>311.35000000000002</v>
      </c>
      <c r="I3" s="206">
        <f t="shared" ref="I3:I14" si="2">H3/$H$15</f>
        <v>0.3804002541296061</v>
      </c>
      <c r="J3" s="205" t="e">
        <f>H3/#REF!</f>
        <v>#REF!</v>
      </c>
      <c r="K3" s="203">
        <f t="shared" ref="K3:K14" si="3">H3/$H$15</f>
        <v>0.3804002541296061</v>
      </c>
      <c r="L3" s="207">
        <v>369.91</v>
      </c>
      <c r="M3" s="206">
        <f t="shared" ref="M3:M14" si="4">L3/$L$15</f>
        <v>0.4182136800452233</v>
      </c>
      <c r="N3" s="205" t="e">
        <f>L3/#REF!</f>
        <v>#REF!</v>
      </c>
      <c r="O3" s="204">
        <f t="shared" ref="O3:O14" si="5">L3/$L$15</f>
        <v>0.4182136800452233</v>
      </c>
      <c r="P3" s="225">
        <v>256.8</v>
      </c>
      <c r="Q3" s="203">
        <f t="shared" ref="Q3:Q14" si="6">P3/$P$15</f>
        <v>0.25649220934878147</v>
      </c>
      <c r="R3" s="225">
        <v>289.3</v>
      </c>
      <c r="S3" s="203">
        <f t="shared" ref="S3:S14" si="7">R3/$R$15</f>
        <v>0.22089196680130413</v>
      </c>
      <c r="T3" s="225">
        <v>219.3</v>
      </c>
      <c r="U3" s="203">
        <f t="shared" ref="U3:U14" si="8">T3/$T$15</f>
        <v>0.21061224489795918</v>
      </c>
      <c r="V3" s="225">
        <v>375.55</v>
      </c>
      <c r="W3" s="203">
        <f t="shared" ref="W3:W14" si="9">V3/$V$15</f>
        <v>0.28626637904092572</v>
      </c>
      <c r="X3" s="228">
        <v>0</v>
      </c>
      <c r="Y3" s="229" t="e">
        <f t="shared" ref="Y3:Y14" si="10">X3/$X$15</f>
        <v>#DIV/0!</v>
      </c>
      <c r="Z3" s="228">
        <v>0</v>
      </c>
      <c r="AA3" s="230" t="e">
        <f t="shared" ref="AA3:AA14" si="11">Z3/$AA$15</f>
        <v>#DIV/0!</v>
      </c>
      <c r="AB3" s="228">
        <v>0</v>
      </c>
      <c r="AC3" s="229" t="e">
        <f t="shared" ref="AC3:AC14" si="12">AB3/$AB$15</f>
        <v>#DIV/0!</v>
      </c>
      <c r="AD3" s="228">
        <v>0</v>
      </c>
      <c r="AE3" s="229" t="e">
        <f t="shared" ref="AE3:AE14" si="13">AD3/$AD$15</f>
        <v>#DIV/0!</v>
      </c>
      <c r="AF3" s="202">
        <f t="shared" ref="AF3:AF12" si="14">SUM(AD3,AB3,Z3,X3,V3,T3,R3,P3,L3,H3,D3,B3)</f>
        <v>2676.2599999999998</v>
      </c>
      <c r="AG3" s="212">
        <f t="shared" ref="AG3:AG14" si="15">AF3/$AF$15</f>
        <v>0.30801757693361231</v>
      </c>
    </row>
    <row r="4" spans="1:33" ht="15.95">
      <c r="A4" s="210" t="s">
        <v>329</v>
      </c>
      <c r="B4" s="207">
        <v>193.13</v>
      </c>
      <c r="C4" s="208">
        <f t="shared" ref="C4:C14" si="16">B4/$B$15</f>
        <v>0.13042098296889562</v>
      </c>
      <c r="D4" s="209">
        <v>123.68</v>
      </c>
      <c r="E4" s="206">
        <f t="shared" si="0"/>
        <v>0.14709275358871593</v>
      </c>
      <c r="F4" s="206" t="e">
        <f>D4/#REF!</f>
        <v>#REF!</v>
      </c>
      <c r="G4" s="208">
        <f t="shared" si="1"/>
        <v>0.14709275358871593</v>
      </c>
      <c r="H4" s="207">
        <v>223.03</v>
      </c>
      <c r="I4" s="206">
        <f t="shared" si="2"/>
        <v>0.27249291369367606</v>
      </c>
      <c r="J4" s="205" t="e">
        <f>H4/#REF!</f>
        <v>#REF!</v>
      </c>
      <c r="K4" s="203">
        <f t="shared" si="3"/>
        <v>0.27249291369367606</v>
      </c>
      <c r="L4" s="207">
        <v>274.61</v>
      </c>
      <c r="M4" s="206">
        <f t="shared" si="4"/>
        <v>0.31046919163369135</v>
      </c>
      <c r="N4" s="205" t="e">
        <f>L4/#REF!</f>
        <v>#REF!</v>
      </c>
      <c r="O4" s="204">
        <f t="shared" si="5"/>
        <v>0.31046919163369135</v>
      </c>
      <c r="P4" s="225">
        <v>118.59</v>
      </c>
      <c r="Q4" s="203">
        <f t="shared" si="6"/>
        <v>0.1184478625649221</v>
      </c>
      <c r="R4" s="225">
        <v>225.27</v>
      </c>
      <c r="S4" s="211">
        <f t="shared" si="7"/>
        <v>0.17200253495101894</v>
      </c>
      <c r="T4" s="225">
        <v>126.14</v>
      </c>
      <c r="U4" s="203">
        <f t="shared" si="8"/>
        <v>0.12114285714285715</v>
      </c>
      <c r="V4" s="225">
        <v>133.29</v>
      </c>
      <c r="W4" s="203">
        <f t="shared" si="9"/>
        <v>0.10160150622384499</v>
      </c>
      <c r="X4" s="228">
        <v>0</v>
      </c>
      <c r="Y4" s="229" t="e">
        <f t="shared" si="10"/>
        <v>#DIV/0!</v>
      </c>
      <c r="Z4" s="228">
        <v>0</v>
      </c>
      <c r="AA4" s="230" t="e">
        <f t="shared" si="11"/>
        <v>#DIV/0!</v>
      </c>
      <c r="AB4" s="228">
        <v>0</v>
      </c>
      <c r="AC4" s="229" t="e">
        <f t="shared" si="12"/>
        <v>#DIV/0!</v>
      </c>
      <c r="AD4" s="228">
        <v>0</v>
      </c>
      <c r="AE4" s="229" t="e">
        <f t="shared" si="13"/>
        <v>#DIV/0!</v>
      </c>
      <c r="AF4" s="202">
        <f t="shared" si="14"/>
        <v>1417.7400000000002</v>
      </c>
      <c r="AG4" s="201">
        <f t="shared" si="15"/>
        <v>0.16317130604719257</v>
      </c>
    </row>
    <row r="5" spans="1:33" ht="15.95">
      <c r="A5" s="210" t="s">
        <v>10</v>
      </c>
      <c r="B5" s="207">
        <v>318.16000000000003</v>
      </c>
      <c r="C5" s="208">
        <f t="shared" si="16"/>
        <v>0.21485393228076338</v>
      </c>
      <c r="D5" s="209">
        <v>120.5</v>
      </c>
      <c r="E5" s="206">
        <f t="shared" si="0"/>
        <v>0.14331077625679389</v>
      </c>
      <c r="F5" s="206" t="e">
        <f>D5/#REF!</f>
        <v>#REF!</v>
      </c>
      <c r="G5" s="208">
        <f t="shared" si="1"/>
        <v>0.14331077625679389</v>
      </c>
      <c r="H5" s="207">
        <v>69.7</v>
      </c>
      <c r="I5" s="206">
        <f t="shared" si="2"/>
        <v>8.5157853582250032E-2</v>
      </c>
      <c r="J5" s="205" t="e">
        <f>H5/#REF!</f>
        <v>#REF!</v>
      </c>
      <c r="K5" s="203">
        <f t="shared" si="3"/>
        <v>8.5157853582250032E-2</v>
      </c>
      <c r="L5" s="207">
        <v>28.8</v>
      </c>
      <c r="M5" s="206">
        <f t="shared" si="4"/>
        <v>3.2560768795929902E-2</v>
      </c>
      <c r="N5" s="205" t="e">
        <f>L5/#REF!</f>
        <v>#REF!</v>
      </c>
      <c r="O5" s="204">
        <f t="shared" si="5"/>
        <v>3.2560768795929902E-2</v>
      </c>
      <c r="P5" s="225">
        <v>99.18</v>
      </c>
      <c r="Q5" s="203">
        <f t="shared" si="6"/>
        <v>9.9061126648022371E-2</v>
      </c>
      <c r="R5" s="225">
        <v>113.47</v>
      </c>
      <c r="S5" s="203">
        <f t="shared" si="7"/>
        <v>8.6638822927563003E-2</v>
      </c>
      <c r="T5" s="225">
        <v>19.38</v>
      </c>
      <c r="U5" s="203">
        <f t="shared" si="8"/>
        <v>1.8612244897959183E-2</v>
      </c>
      <c r="V5" s="225">
        <v>17.73</v>
      </c>
      <c r="W5" s="203">
        <f t="shared" si="9"/>
        <v>1.3514852617216385E-2</v>
      </c>
      <c r="X5" s="228">
        <v>0</v>
      </c>
      <c r="Y5" s="229" t="e">
        <f t="shared" si="10"/>
        <v>#DIV/0!</v>
      </c>
      <c r="Z5" s="228">
        <v>0</v>
      </c>
      <c r="AA5" s="230" t="e">
        <f t="shared" si="11"/>
        <v>#DIV/0!</v>
      </c>
      <c r="AB5" s="228">
        <v>0</v>
      </c>
      <c r="AC5" s="229" t="e">
        <f t="shared" si="12"/>
        <v>#DIV/0!</v>
      </c>
      <c r="AD5" s="228">
        <v>0</v>
      </c>
      <c r="AE5" s="229" t="e">
        <f t="shared" si="13"/>
        <v>#DIV/0!</v>
      </c>
      <c r="AF5" s="202">
        <f t="shared" si="14"/>
        <v>786.92000000000007</v>
      </c>
      <c r="AG5" s="201">
        <f t="shared" si="15"/>
        <v>9.0568626232353441E-2</v>
      </c>
    </row>
    <row r="6" spans="1:33" ht="15.95">
      <c r="A6" s="210" t="s">
        <v>11</v>
      </c>
      <c r="B6" s="207">
        <v>92.8</v>
      </c>
      <c r="C6" s="208">
        <f t="shared" si="16"/>
        <v>6.266798125362974E-2</v>
      </c>
      <c r="D6" s="209">
        <v>10.86</v>
      </c>
      <c r="E6" s="206">
        <f t="shared" si="0"/>
        <v>1.2915809378828063E-2</v>
      </c>
      <c r="F6" s="206" t="e">
        <f>D6/#REF!</f>
        <v>#REF!</v>
      </c>
      <c r="G6" s="208">
        <f t="shared" si="1"/>
        <v>1.2915809378828063E-2</v>
      </c>
      <c r="H6" s="207">
        <v>51.66</v>
      </c>
      <c r="I6" s="206">
        <f t="shared" si="2"/>
        <v>6.3116997360961782E-2</v>
      </c>
      <c r="J6" s="205" t="e">
        <f>H6/#REF!</f>
        <v>#REF!</v>
      </c>
      <c r="K6" s="203">
        <f t="shared" si="3"/>
        <v>6.3116997360961782E-2</v>
      </c>
      <c r="L6" s="207">
        <v>76.33</v>
      </c>
      <c r="M6" s="206">
        <f t="shared" si="4"/>
        <v>8.6297343131712834E-2</v>
      </c>
      <c r="N6" s="205" t="e">
        <f>L6/#REF!</f>
        <v>#REF!</v>
      </c>
      <c r="O6" s="204">
        <f t="shared" si="5"/>
        <v>8.6297343131712834E-2</v>
      </c>
      <c r="P6" s="225">
        <v>0</v>
      </c>
      <c r="Q6" s="203">
        <f t="shared" si="6"/>
        <v>0</v>
      </c>
      <c r="R6" s="225">
        <v>11.79</v>
      </c>
      <c r="S6" s="203">
        <f t="shared" si="7"/>
        <v>9.0021302751032671E-3</v>
      </c>
      <c r="T6" s="225">
        <v>73.540000000000006</v>
      </c>
      <c r="U6" s="203">
        <f t="shared" si="8"/>
        <v>7.0626650660264106E-2</v>
      </c>
      <c r="V6" s="225">
        <v>51.99</v>
      </c>
      <c r="W6" s="203">
        <f t="shared" si="9"/>
        <v>3.9629847014612508E-2</v>
      </c>
      <c r="X6" s="228">
        <v>0</v>
      </c>
      <c r="Y6" s="229" t="e">
        <f t="shared" si="10"/>
        <v>#DIV/0!</v>
      </c>
      <c r="Z6" s="228">
        <v>0</v>
      </c>
      <c r="AA6" s="230" t="e">
        <f t="shared" si="11"/>
        <v>#DIV/0!</v>
      </c>
      <c r="AB6" s="228">
        <v>0</v>
      </c>
      <c r="AC6" s="229" t="e">
        <f t="shared" si="12"/>
        <v>#DIV/0!</v>
      </c>
      <c r="AD6" s="228">
        <v>0</v>
      </c>
      <c r="AE6" s="229" t="e">
        <f t="shared" si="13"/>
        <v>#DIV/0!</v>
      </c>
      <c r="AF6" s="202">
        <f t="shared" si="14"/>
        <v>368.96999999999997</v>
      </c>
      <c r="AG6" s="201">
        <f t="shared" si="15"/>
        <v>4.246569666668968E-2</v>
      </c>
    </row>
    <row r="7" spans="1:33" ht="15.95">
      <c r="A7" s="210" t="s">
        <v>3</v>
      </c>
      <c r="B7" s="207">
        <v>379.03</v>
      </c>
      <c r="C7" s="208">
        <f t="shared" si="16"/>
        <v>0.25595953593279397</v>
      </c>
      <c r="D7" s="209">
        <v>229.44</v>
      </c>
      <c r="E7" s="206">
        <f t="shared" si="0"/>
        <v>0.27287323240131778</v>
      </c>
      <c r="F7" s="206" t="e">
        <f>D7/#REF!</f>
        <v>#REF!</v>
      </c>
      <c r="G7" s="208">
        <f t="shared" si="1"/>
        <v>0.27287323240131778</v>
      </c>
      <c r="H7" s="207">
        <v>162.74</v>
      </c>
      <c r="I7" s="206">
        <f t="shared" si="2"/>
        <v>0.19883198123350601</v>
      </c>
      <c r="J7" s="205" t="e">
        <f>H7/#REF!</f>
        <v>#REF!</v>
      </c>
      <c r="K7" s="203">
        <f t="shared" si="3"/>
        <v>0.19883198123350601</v>
      </c>
      <c r="L7" s="207">
        <v>134.85</v>
      </c>
      <c r="M7" s="206">
        <f t="shared" si="4"/>
        <v>0.15245901639344261</v>
      </c>
      <c r="N7" s="205" t="e">
        <f>L7/#REF!</f>
        <v>#REF!</v>
      </c>
      <c r="O7" s="204">
        <f t="shared" si="5"/>
        <v>0.15245901639344261</v>
      </c>
      <c r="P7" s="225">
        <v>224.5</v>
      </c>
      <c r="Q7" s="203">
        <f t="shared" si="6"/>
        <v>0.22423092289252897</v>
      </c>
      <c r="R7" s="225">
        <v>28.27</v>
      </c>
      <c r="S7" s="203">
        <f t="shared" si="7"/>
        <v>2.1585260634195878E-2</v>
      </c>
      <c r="T7" s="225">
        <v>60.24</v>
      </c>
      <c r="U7" s="203">
        <f t="shared" si="8"/>
        <v>5.785354141656663E-2</v>
      </c>
      <c r="V7" s="225">
        <v>140.58000000000001</v>
      </c>
      <c r="W7" s="203">
        <f t="shared" si="9"/>
        <v>0.10715837455884261</v>
      </c>
      <c r="X7" s="228">
        <v>0</v>
      </c>
      <c r="Y7" s="229" t="e">
        <f t="shared" si="10"/>
        <v>#DIV/0!</v>
      </c>
      <c r="Z7" s="228">
        <v>0</v>
      </c>
      <c r="AA7" s="230" t="e">
        <f t="shared" si="11"/>
        <v>#DIV/0!</v>
      </c>
      <c r="AB7" s="228">
        <v>0</v>
      </c>
      <c r="AC7" s="229" t="e">
        <f t="shared" si="12"/>
        <v>#DIV/0!</v>
      </c>
      <c r="AD7" s="228">
        <v>0</v>
      </c>
      <c r="AE7" s="229" t="e">
        <f t="shared" si="13"/>
        <v>#DIV/0!</v>
      </c>
      <c r="AF7" s="202">
        <f t="shared" si="14"/>
        <v>1359.65</v>
      </c>
      <c r="AG7" s="201">
        <f t="shared" si="15"/>
        <v>0.15648558005492216</v>
      </c>
    </row>
    <row r="8" spans="1:33" ht="15.95">
      <c r="A8" s="210" t="s">
        <v>330</v>
      </c>
      <c r="B8" s="207">
        <f>'[1]ORÇAMENTO SETEMBRO'!AF42</f>
        <v>0</v>
      </c>
      <c r="C8" s="208">
        <f t="shared" si="16"/>
        <v>0</v>
      </c>
      <c r="D8" s="209">
        <v>0</v>
      </c>
      <c r="E8" s="206">
        <f t="shared" si="0"/>
        <v>0</v>
      </c>
      <c r="F8" s="206" t="e">
        <f>D8/#REF!</f>
        <v>#REF!</v>
      </c>
      <c r="G8" s="208">
        <f t="shared" si="1"/>
        <v>0</v>
      </c>
      <c r="H8" s="207">
        <v>0</v>
      </c>
      <c r="I8" s="206">
        <f t="shared" si="2"/>
        <v>0</v>
      </c>
      <c r="J8" s="205" t="e">
        <f>H8/#REF!</f>
        <v>#REF!</v>
      </c>
      <c r="K8" s="203">
        <f t="shared" si="3"/>
        <v>0</v>
      </c>
      <c r="L8" s="207">
        <v>0</v>
      </c>
      <c r="M8" s="206">
        <f t="shared" si="4"/>
        <v>0</v>
      </c>
      <c r="N8" s="205" t="e">
        <f>L8/#REF!</f>
        <v>#REF!</v>
      </c>
      <c r="O8" s="204">
        <f t="shared" si="5"/>
        <v>0</v>
      </c>
      <c r="P8" s="225">
        <v>36.340000000000003</v>
      </c>
      <c r="Q8" s="203">
        <f t="shared" si="6"/>
        <v>3.6296444266879745E-2</v>
      </c>
      <c r="R8" s="225">
        <v>209.93</v>
      </c>
      <c r="S8" s="203">
        <f t="shared" si="7"/>
        <v>0.16028983958035872</v>
      </c>
      <c r="T8" s="225">
        <v>368.76</v>
      </c>
      <c r="U8" s="203">
        <f t="shared" si="8"/>
        <v>0.35415126050420165</v>
      </c>
      <c r="V8" s="225">
        <v>209.8</v>
      </c>
      <c r="W8" s="203">
        <f t="shared" si="9"/>
        <v>0.15992194467523957</v>
      </c>
      <c r="X8" s="228">
        <v>0</v>
      </c>
      <c r="Y8" s="229" t="e">
        <f t="shared" si="10"/>
        <v>#DIV/0!</v>
      </c>
      <c r="Z8" s="228">
        <v>0</v>
      </c>
      <c r="AA8" s="230" t="e">
        <f t="shared" si="11"/>
        <v>#DIV/0!</v>
      </c>
      <c r="AB8" s="228">
        <v>0</v>
      </c>
      <c r="AC8" s="229" t="e">
        <f t="shared" si="12"/>
        <v>#DIV/0!</v>
      </c>
      <c r="AD8" s="228">
        <v>0</v>
      </c>
      <c r="AE8" s="229" t="e">
        <f t="shared" si="13"/>
        <v>#DIV/0!</v>
      </c>
      <c r="AF8" s="202">
        <f t="shared" si="14"/>
        <v>824.83</v>
      </c>
      <c r="AG8" s="201">
        <f t="shared" si="15"/>
        <v>9.4931784648035492E-2</v>
      </c>
    </row>
    <row r="9" spans="1:33" ht="15.95">
      <c r="A9" s="210" t="s">
        <v>157</v>
      </c>
      <c r="B9" s="207">
        <f>'[1]ORÇAMENTO SETEMBRO'!AF49</f>
        <v>0</v>
      </c>
      <c r="C9" s="208">
        <f t="shared" si="16"/>
        <v>0</v>
      </c>
      <c r="D9" s="209">
        <v>0</v>
      </c>
      <c r="E9" s="206">
        <f t="shared" si="0"/>
        <v>0</v>
      </c>
      <c r="F9" s="206" t="e">
        <f>D9/#REF!</f>
        <v>#REF!</v>
      </c>
      <c r="G9" s="208">
        <f t="shared" si="1"/>
        <v>0</v>
      </c>
      <c r="H9" s="207">
        <v>0</v>
      </c>
      <c r="I9" s="206">
        <f t="shared" si="2"/>
        <v>0</v>
      </c>
      <c r="J9" s="205" t="e">
        <f>H9/#REF!</f>
        <v>#REF!</v>
      </c>
      <c r="K9" s="203">
        <f t="shared" si="3"/>
        <v>0</v>
      </c>
      <c r="L9" s="207">
        <v>0</v>
      </c>
      <c r="M9" s="206">
        <f t="shared" si="4"/>
        <v>0</v>
      </c>
      <c r="N9" s="205" t="e">
        <f>L9/#REF!</f>
        <v>#REF!</v>
      </c>
      <c r="O9" s="204">
        <f t="shared" si="5"/>
        <v>0</v>
      </c>
      <c r="P9" s="225">
        <v>265.79000000000002</v>
      </c>
      <c r="Q9" s="203">
        <f t="shared" si="6"/>
        <v>0.26547143427886538</v>
      </c>
      <c r="R9" s="225">
        <v>431.66</v>
      </c>
      <c r="S9" s="203">
        <f t="shared" si="7"/>
        <v>0.32958944483045605</v>
      </c>
      <c r="T9" s="225">
        <v>132.27000000000001</v>
      </c>
      <c r="U9" s="203">
        <f t="shared" si="8"/>
        <v>0.12703001200480193</v>
      </c>
      <c r="V9" s="225">
        <v>293.08999999999997</v>
      </c>
      <c r="W9" s="203">
        <f t="shared" si="9"/>
        <v>0.22341049935589113</v>
      </c>
      <c r="X9" s="228">
        <v>0</v>
      </c>
      <c r="Y9" s="229" t="e">
        <f t="shared" si="10"/>
        <v>#DIV/0!</v>
      </c>
      <c r="Z9" s="228">
        <v>0</v>
      </c>
      <c r="AA9" s="230" t="e">
        <f t="shared" si="11"/>
        <v>#DIV/0!</v>
      </c>
      <c r="AB9" s="228">
        <v>0</v>
      </c>
      <c r="AC9" s="229" t="e">
        <f t="shared" si="12"/>
        <v>#DIV/0!</v>
      </c>
      <c r="AD9" s="228">
        <v>0</v>
      </c>
      <c r="AE9" s="229" t="e">
        <f t="shared" si="13"/>
        <v>#DIV/0!</v>
      </c>
      <c r="AF9" s="202">
        <f t="shared" si="14"/>
        <v>1122.81</v>
      </c>
      <c r="AG9" s="201">
        <f t="shared" si="15"/>
        <v>0.12922706148013618</v>
      </c>
    </row>
    <row r="10" spans="1:33" ht="15.95">
      <c r="A10" s="210" t="s">
        <v>158</v>
      </c>
      <c r="B10" s="207">
        <f>'[1]ORÇAMENTO SETEMBRO'!AF55</f>
        <v>0</v>
      </c>
      <c r="C10" s="208">
        <f t="shared" si="16"/>
        <v>0</v>
      </c>
      <c r="D10" s="209">
        <v>0</v>
      </c>
      <c r="E10" s="206">
        <f t="shared" si="0"/>
        <v>0</v>
      </c>
      <c r="F10" s="206" t="e">
        <f>D10/#REF!</f>
        <v>#REF!</v>
      </c>
      <c r="G10" s="208">
        <f t="shared" si="1"/>
        <v>0</v>
      </c>
      <c r="H10" s="207">
        <v>0</v>
      </c>
      <c r="I10" s="206">
        <f t="shared" si="2"/>
        <v>0</v>
      </c>
      <c r="J10" s="205" t="e">
        <f>H10/#REF!</f>
        <v>#REF!</v>
      </c>
      <c r="K10" s="203">
        <f t="shared" si="3"/>
        <v>0</v>
      </c>
      <c r="L10" s="207">
        <v>0</v>
      </c>
      <c r="M10" s="206">
        <f t="shared" si="4"/>
        <v>0</v>
      </c>
      <c r="N10" s="205" t="e">
        <f>L10/#REF!</f>
        <v>#REF!</v>
      </c>
      <c r="O10" s="204">
        <f t="shared" si="5"/>
        <v>0</v>
      </c>
      <c r="P10" s="225">
        <v>0</v>
      </c>
      <c r="Q10" s="203">
        <f t="shared" si="6"/>
        <v>0</v>
      </c>
      <c r="R10" s="225">
        <v>0</v>
      </c>
      <c r="S10" s="203">
        <f t="shared" si="7"/>
        <v>0</v>
      </c>
      <c r="T10" s="225">
        <v>20.62</v>
      </c>
      <c r="U10" s="203">
        <f t="shared" si="8"/>
        <v>1.9803121248499402E-2</v>
      </c>
      <c r="V10" s="225">
        <v>34.56</v>
      </c>
      <c r="W10" s="203">
        <f t="shared" si="9"/>
        <v>2.6343672106655287E-2</v>
      </c>
      <c r="X10" s="228">
        <v>0</v>
      </c>
      <c r="Y10" s="229" t="e">
        <f t="shared" si="10"/>
        <v>#DIV/0!</v>
      </c>
      <c r="Z10" s="228">
        <v>0</v>
      </c>
      <c r="AA10" s="230" t="e">
        <f t="shared" si="11"/>
        <v>#DIV/0!</v>
      </c>
      <c r="AB10" s="228">
        <v>0</v>
      </c>
      <c r="AC10" s="229" t="e">
        <f t="shared" si="12"/>
        <v>#DIV/0!</v>
      </c>
      <c r="AD10" s="228">
        <v>0</v>
      </c>
      <c r="AE10" s="229" t="e">
        <f t="shared" si="13"/>
        <v>#DIV/0!</v>
      </c>
      <c r="AF10" s="202">
        <f t="shared" si="14"/>
        <v>55.180000000000007</v>
      </c>
      <c r="AG10" s="201">
        <f t="shared" si="15"/>
        <v>6.3508066836543272E-3</v>
      </c>
    </row>
    <row r="11" spans="1:33" ht="15.95">
      <c r="A11" s="210" t="s">
        <v>160</v>
      </c>
      <c r="B11" s="207">
        <f>'[1]ORÇAMENTO SETEMBRO'!AF62</f>
        <v>0</v>
      </c>
      <c r="C11" s="208">
        <f t="shared" si="16"/>
        <v>0</v>
      </c>
      <c r="D11" s="209">
        <v>0</v>
      </c>
      <c r="E11" s="206">
        <f t="shared" si="0"/>
        <v>0</v>
      </c>
      <c r="F11" s="206" t="e">
        <f>D11/#REF!</f>
        <v>#REF!</v>
      </c>
      <c r="G11" s="208">
        <f t="shared" si="1"/>
        <v>0</v>
      </c>
      <c r="H11" s="207">
        <v>0</v>
      </c>
      <c r="I11" s="206">
        <f t="shared" si="2"/>
        <v>0</v>
      </c>
      <c r="J11" s="205" t="e">
        <f>H11/#REF!</f>
        <v>#REF!</v>
      </c>
      <c r="K11" s="203">
        <f t="shared" si="3"/>
        <v>0</v>
      </c>
      <c r="L11" s="207">
        <v>0</v>
      </c>
      <c r="M11" s="206">
        <f t="shared" si="4"/>
        <v>0</v>
      </c>
      <c r="N11" s="205" t="e">
        <f>L11/#REF!</f>
        <v>#REF!</v>
      </c>
      <c r="O11" s="204">
        <f t="shared" si="5"/>
        <v>0</v>
      </c>
      <c r="P11" s="225">
        <v>0</v>
      </c>
      <c r="Q11" s="203">
        <f t="shared" si="6"/>
        <v>0</v>
      </c>
      <c r="R11" s="225">
        <v>0</v>
      </c>
      <c r="S11" s="203">
        <f t="shared" si="7"/>
        <v>0</v>
      </c>
      <c r="T11" s="225">
        <v>21</v>
      </c>
      <c r="U11" s="203">
        <f t="shared" si="8"/>
        <v>2.0168067226890758E-2</v>
      </c>
      <c r="V11" s="225">
        <v>55.3</v>
      </c>
      <c r="W11" s="203">
        <f t="shared" si="9"/>
        <v>4.2152924406771909E-2</v>
      </c>
      <c r="X11" s="228">
        <v>0</v>
      </c>
      <c r="Y11" s="229" t="e">
        <f t="shared" si="10"/>
        <v>#DIV/0!</v>
      </c>
      <c r="Z11" s="228">
        <v>0</v>
      </c>
      <c r="AA11" s="230" t="e">
        <f t="shared" si="11"/>
        <v>#DIV/0!</v>
      </c>
      <c r="AB11" s="228">
        <v>0</v>
      </c>
      <c r="AC11" s="229" t="e">
        <f t="shared" si="12"/>
        <v>#DIV/0!</v>
      </c>
      <c r="AD11" s="228">
        <v>0</v>
      </c>
      <c r="AE11" s="229" t="e">
        <f t="shared" si="13"/>
        <v>#DIV/0!</v>
      </c>
      <c r="AF11" s="202">
        <f t="shared" si="14"/>
        <v>76.3</v>
      </c>
      <c r="AG11" s="201">
        <f t="shared" si="15"/>
        <v>8.7815612534038624E-3</v>
      </c>
    </row>
    <row r="12" spans="1:33" ht="15.95">
      <c r="A12" s="210"/>
      <c r="B12" s="207">
        <f>'[1]ORÇAMENTO SETEMBRO'!AF66</f>
        <v>0</v>
      </c>
      <c r="C12" s="208">
        <f t="shared" si="16"/>
        <v>0</v>
      </c>
      <c r="D12" s="209">
        <v>0</v>
      </c>
      <c r="E12" s="206">
        <f t="shared" si="0"/>
        <v>0</v>
      </c>
      <c r="F12" s="206" t="e">
        <f>D12/#REF!</f>
        <v>#REF!</v>
      </c>
      <c r="G12" s="208">
        <f t="shared" si="1"/>
        <v>0</v>
      </c>
      <c r="H12" s="207">
        <v>0</v>
      </c>
      <c r="I12" s="206">
        <f t="shared" si="2"/>
        <v>0</v>
      </c>
      <c r="J12" s="205" t="e">
        <f>H12/#REF!</f>
        <v>#REF!</v>
      </c>
      <c r="K12" s="203">
        <f t="shared" si="3"/>
        <v>0</v>
      </c>
      <c r="L12" s="207">
        <v>0</v>
      </c>
      <c r="M12" s="206">
        <f t="shared" si="4"/>
        <v>0</v>
      </c>
      <c r="N12" s="205" t="e">
        <f>L12/#REF!</f>
        <v>#REF!</v>
      </c>
      <c r="O12" s="204">
        <f t="shared" si="5"/>
        <v>0</v>
      </c>
      <c r="P12" s="225">
        <v>0</v>
      </c>
      <c r="Q12" s="203">
        <f t="shared" si="6"/>
        <v>0</v>
      </c>
      <c r="R12" s="225">
        <v>0</v>
      </c>
      <c r="S12" s="203">
        <f t="shared" si="7"/>
        <v>0</v>
      </c>
      <c r="T12" s="225">
        <v>0</v>
      </c>
      <c r="U12" s="203">
        <f t="shared" si="8"/>
        <v>0</v>
      </c>
      <c r="V12" s="225">
        <v>0</v>
      </c>
      <c r="W12" s="203">
        <f t="shared" si="9"/>
        <v>0</v>
      </c>
      <c r="X12" s="228">
        <v>0</v>
      </c>
      <c r="Y12" s="229" t="e">
        <f t="shared" si="10"/>
        <v>#DIV/0!</v>
      </c>
      <c r="Z12" s="228">
        <v>0</v>
      </c>
      <c r="AA12" s="230" t="e">
        <f t="shared" si="11"/>
        <v>#DIV/0!</v>
      </c>
      <c r="AB12" s="228">
        <v>0</v>
      </c>
      <c r="AC12" s="229" t="e">
        <f t="shared" si="12"/>
        <v>#DIV/0!</v>
      </c>
      <c r="AD12" s="228">
        <v>0</v>
      </c>
      <c r="AE12" s="229" t="e">
        <f t="shared" si="13"/>
        <v>#DIV/0!</v>
      </c>
      <c r="AF12" s="202">
        <f t="shared" si="14"/>
        <v>0</v>
      </c>
      <c r="AG12" s="201">
        <f t="shared" si="15"/>
        <v>0</v>
      </c>
    </row>
    <row r="13" spans="1:33" ht="15.95">
      <c r="A13" s="210"/>
      <c r="B13" s="207">
        <f>'[1]ORÇAMENTO SETEMBRO'!AF73</f>
        <v>0</v>
      </c>
      <c r="C13" s="208">
        <f t="shared" si="16"/>
        <v>0</v>
      </c>
      <c r="D13" s="209">
        <v>0</v>
      </c>
      <c r="E13" s="206">
        <f t="shared" si="0"/>
        <v>0</v>
      </c>
      <c r="F13" s="206" t="e">
        <f>D13/#REF!</f>
        <v>#REF!</v>
      </c>
      <c r="G13" s="208">
        <f t="shared" si="1"/>
        <v>0</v>
      </c>
      <c r="H13" s="207">
        <v>0</v>
      </c>
      <c r="I13" s="206">
        <f t="shared" si="2"/>
        <v>0</v>
      </c>
      <c r="J13" s="205" t="e">
        <f>H13/#REF!</f>
        <v>#REF!</v>
      </c>
      <c r="K13" s="203">
        <f t="shared" si="3"/>
        <v>0</v>
      </c>
      <c r="L13" s="207">
        <v>0</v>
      </c>
      <c r="M13" s="206">
        <f t="shared" si="4"/>
        <v>0</v>
      </c>
      <c r="N13" s="205" t="e">
        <f>L13/#REF!</f>
        <v>#REF!</v>
      </c>
      <c r="O13" s="204">
        <f t="shared" si="5"/>
        <v>0</v>
      </c>
      <c r="P13" s="225">
        <v>0</v>
      </c>
      <c r="Q13" s="203">
        <f t="shared" si="6"/>
        <v>0</v>
      </c>
      <c r="R13" s="225">
        <v>0</v>
      </c>
      <c r="S13" s="203">
        <f t="shared" si="7"/>
        <v>0</v>
      </c>
      <c r="T13" s="225">
        <v>0</v>
      </c>
      <c r="U13" s="203">
        <f t="shared" si="8"/>
        <v>0</v>
      </c>
      <c r="V13" s="225">
        <v>0</v>
      </c>
      <c r="W13" s="203">
        <f t="shared" si="9"/>
        <v>0</v>
      </c>
      <c r="X13" s="228">
        <v>0</v>
      </c>
      <c r="Y13" s="229" t="e">
        <f t="shared" si="10"/>
        <v>#DIV/0!</v>
      </c>
      <c r="Z13" s="228">
        <v>0</v>
      </c>
      <c r="AA13" s="230" t="e">
        <f t="shared" si="11"/>
        <v>#DIV/0!</v>
      </c>
      <c r="AB13" s="228">
        <v>0</v>
      </c>
      <c r="AC13" s="229" t="e">
        <f t="shared" si="12"/>
        <v>#DIV/0!</v>
      </c>
      <c r="AD13" s="228">
        <v>0</v>
      </c>
      <c r="AE13" s="229" t="e">
        <f t="shared" si="13"/>
        <v>#DIV/0!</v>
      </c>
      <c r="AF13" s="202">
        <f>SUM(AD13,AB13,Z13,X13,V13,T13,R13,L13,P13,H13,D13,B13)</f>
        <v>0</v>
      </c>
      <c r="AG13" s="201">
        <f t="shared" si="15"/>
        <v>0</v>
      </c>
    </row>
    <row r="14" spans="1:33" ht="15.95">
      <c r="A14" s="200"/>
      <c r="B14" s="197">
        <f>'[1]ORÇAMENTO SETEMBRO'!AF80</f>
        <v>0</v>
      </c>
      <c r="C14" s="198">
        <f t="shared" si="16"/>
        <v>0</v>
      </c>
      <c r="D14" s="199">
        <v>0</v>
      </c>
      <c r="E14" s="196">
        <f t="shared" si="0"/>
        <v>0</v>
      </c>
      <c r="F14" s="196" t="e">
        <f>D14/#REF!</f>
        <v>#REF!</v>
      </c>
      <c r="G14" s="198">
        <f t="shared" si="1"/>
        <v>0</v>
      </c>
      <c r="H14" s="197">
        <v>0</v>
      </c>
      <c r="I14" s="196">
        <f t="shared" si="2"/>
        <v>0</v>
      </c>
      <c r="J14" s="195" t="e">
        <f>H14/#REF!</f>
        <v>#REF!</v>
      </c>
      <c r="K14" s="193">
        <f t="shared" si="3"/>
        <v>0</v>
      </c>
      <c r="L14" s="197">
        <v>0</v>
      </c>
      <c r="M14" s="196">
        <f t="shared" si="4"/>
        <v>0</v>
      </c>
      <c r="N14" s="195" t="e">
        <f>L14/#REF!</f>
        <v>#REF!</v>
      </c>
      <c r="O14" s="194">
        <f t="shared" si="5"/>
        <v>0</v>
      </c>
      <c r="P14" s="224">
        <v>0</v>
      </c>
      <c r="Q14" s="193">
        <f t="shared" si="6"/>
        <v>0</v>
      </c>
      <c r="R14" s="224">
        <v>0</v>
      </c>
      <c r="S14" s="193">
        <f t="shared" si="7"/>
        <v>0</v>
      </c>
      <c r="T14" s="224">
        <v>0</v>
      </c>
      <c r="U14" s="193">
        <f t="shared" si="8"/>
        <v>0</v>
      </c>
      <c r="V14" s="224">
        <v>0</v>
      </c>
      <c r="W14" s="193">
        <f t="shared" si="9"/>
        <v>0</v>
      </c>
      <c r="X14" s="231">
        <v>0</v>
      </c>
      <c r="Y14" s="232" t="e">
        <f t="shared" si="10"/>
        <v>#DIV/0!</v>
      </c>
      <c r="Z14" s="231">
        <v>0</v>
      </c>
      <c r="AA14" s="233" t="e">
        <f t="shared" si="11"/>
        <v>#DIV/0!</v>
      </c>
      <c r="AB14" s="231">
        <v>0</v>
      </c>
      <c r="AC14" s="232" t="e">
        <f t="shared" si="12"/>
        <v>#DIV/0!</v>
      </c>
      <c r="AD14" s="231">
        <v>0</v>
      </c>
      <c r="AE14" s="232" t="e">
        <f t="shared" si="13"/>
        <v>#DIV/0!</v>
      </c>
      <c r="AF14" s="181">
        <f>SUM(AD14,AB14,Z14,X14,V14,T14,R14,P14,L14,H14,D14,B14)</f>
        <v>0</v>
      </c>
      <c r="AG14" s="192">
        <f t="shared" si="15"/>
        <v>0</v>
      </c>
    </row>
    <row r="15" spans="1:33" ht="17.100000000000001" thickBot="1">
      <c r="A15" s="191" t="s">
        <v>331</v>
      </c>
      <c r="B15" s="189">
        <f>SUM(B3:B14)</f>
        <v>1480.82</v>
      </c>
      <c r="C15" s="190"/>
      <c r="D15" s="186">
        <f>SUM(D3:D14)</f>
        <v>840.82999999999993</v>
      </c>
      <c r="E15" s="188"/>
      <c r="F15" s="188"/>
      <c r="G15" s="190"/>
      <c r="H15" s="189">
        <f>SUM(H3:H14)</f>
        <v>818.48</v>
      </c>
      <c r="I15" s="188"/>
      <c r="J15" s="188"/>
      <c r="K15" s="185"/>
      <c r="L15" s="189">
        <f>SUM(L3:L14)</f>
        <v>884.5</v>
      </c>
      <c r="M15" s="188"/>
      <c r="N15" s="188"/>
      <c r="O15" s="187"/>
      <c r="P15" s="186">
        <f>SUM(P3:P14)</f>
        <v>1001.2</v>
      </c>
      <c r="Q15" s="185"/>
      <c r="R15" s="186">
        <f>SUM(R3:R14)</f>
        <v>1309.69</v>
      </c>
      <c r="S15" s="185"/>
      <c r="T15" s="186">
        <f>SUM(T3:T14)</f>
        <v>1041.25</v>
      </c>
      <c r="U15" s="185"/>
      <c r="V15" s="186">
        <f>SUM(V3:V14)</f>
        <v>1311.8899999999999</v>
      </c>
      <c r="W15" s="185"/>
      <c r="X15" s="234">
        <f>SUM(X3:X14)</f>
        <v>0</v>
      </c>
      <c r="Y15" s="235"/>
      <c r="Z15" s="234">
        <f>SUM(Z3:Z14)</f>
        <v>0</v>
      </c>
      <c r="AA15" s="235"/>
      <c r="AB15" s="234">
        <f>SUM(AB3:AB14)</f>
        <v>0</v>
      </c>
      <c r="AC15" s="235"/>
      <c r="AD15" s="234">
        <f>SUM(AD3:AD14)</f>
        <v>0</v>
      </c>
      <c r="AE15" s="235"/>
      <c r="AF15" s="184">
        <f>SUM(AF3:AF14)</f>
        <v>8688.66</v>
      </c>
      <c r="AG15" s="183"/>
    </row>
    <row r="18" spans="1:1">
      <c r="A18" s="182"/>
    </row>
  </sheetData>
  <mergeCells count="13">
    <mergeCell ref="T1:U1"/>
    <mergeCell ref="V1:W1"/>
    <mergeCell ref="B1:C1"/>
    <mergeCell ref="D1:G1"/>
    <mergeCell ref="H1:K1"/>
    <mergeCell ref="L1:O1"/>
    <mergeCell ref="R1:S1"/>
    <mergeCell ref="P1:Q1"/>
    <mergeCell ref="X1:Y1"/>
    <mergeCell ref="Z1:AA1"/>
    <mergeCell ref="AB1:AC1"/>
    <mergeCell ref="AD1:AE1"/>
    <mergeCell ref="AF1:AG1"/>
  </mergeCells>
  <pageMargins left="0.7" right="0.7" top="0.75" bottom="0.75" header="0.3" footer="0.3"/>
  <pageSetup paperSize="9" orientation="portrait" r:id="rId1"/>
  <ignoredErrors>
    <ignoredError sqref="W5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9C38-1CA8-E844-91CE-865249AF2F47}">
  <sheetPr>
    <tabColor rgb="FFD8E2F4"/>
  </sheetPr>
  <dimension ref="C3:AK41"/>
  <sheetViews>
    <sheetView topLeftCell="U4" zoomScale="82" zoomScaleNormal="83" workbookViewId="0">
      <selection activeCell="Y12" sqref="Y12"/>
    </sheetView>
  </sheetViews>
  <sheetFormatPr defaultColWidth="11" defaultRowHeight="15.75" customHeight="1"/>
  <cols>
    <col min="5" max="5" width="10.875" customWidth="1"/>
    <col min="6" max="6" width="17" customWidth="1"/>
    <col min="7" max="7" width="14.125" customWidth="1"/>
    <col min="8" max="8" width="20.5" customWidth="1"/>
    <col min="9" max="9" width="11.375" customWidth="1"/>
    <col min="10" max="10" width="12.625" customWidth="1"/>
    <col min="11" max="11" width="11.375" customWidth="1"/>
    <col min="12" max="12" width="23.375" customWidth="1"/>
    <col min="13" max="13" width="10.625" customWidth="1"/>
    <col min="14" max="14" width="10.375" customWidth="1"/>
    <col min="15" max="15" width="10.625" customWidth="1"/>
    <col min="16" max="16" width="11.125" customWidth="1"/>
    <col min="17" max="17" width="10.125" customWidth="1"/>
    <col min="18" max="18" width="19" customWidth="1"/>
    <col min="20" max="20" width="13.5" customWidth="1"/>
    <col min="21" max="21" width="12.875" customWidth="1"/>
    <col min="22" max="22" width="10.5" customWidth="1"/>
    <col min="23" max="23" width="11.375" customWidth="1"/>
    <col min="24" max="24" width="16" customWidth="1"/>
    <col min="25" max="25" width="14.625" style="6" customWidth="1"/>
    <col min="26" max="26" width="16.5" customWidth="1"/>
    <col min="28" max="28" width="16.875" customWidth="1"/>
    <col min="30" max="31" width="15.375" customWidth="1"/>
    <col min="34" max="34" width="14" customWidth="1"/>
    <col min="35" max="35" width="24.125" customWidth="1"/>
    <col min="37" max="37" width="58.5" customWidth="1"/>
  </cols>
  <sheetData>
    <row r="3" spans="3:37" ht="17.100000000000001" thickBot="1">
      <c r="AI3" s="668"/>
      <c r="AJ3" s="668"/>
      <c r="AK3" s="668"/>
    </row>
    <row r="4" spans="3:37" ht="21">
      <c r="C4" s="484" t="s">
        <v>0</v>
      </c>
      <c r="D4" s="485"/>
      <c r="E4" s="456"/>
      <c r="F4" s="673" t="s">
        <v>332</v>
      </c>
      <c r="G4" s="674"/>
      <c r="H4" s="674"/>
      <c r="I4" s="674"/>
      <c r="J4" s="674"/>
      <c r="K4" s="674"/>
      <c r="L4" s="674"/>
      <c r="M4" s="674"/>
      <c r="N4" s="674"/>
      <c r="O4" s="674"/>
      <c r="P4" s="674"/>
      <c r="Q4" s="674"/>
      <c r="R4" s="674"/>
      <c r="S4" s="674"/>
      <c r="T4" s="674"/>
      <c r="U4" s="674"/>
      <c r="V4" s="674"/>
      <c r="W4" s="674"/>
      <c r="X4" s="674"/>
      <c r="Y4" s="674"/>
      <c r="Z4" s="674"/>
      <c r="AA4" s="674"/>
      <c r="AB4" s="674"/>
      <c r="AC4" s="674"/>
      <c r="AD4" s="674"/>
      <c r="AE4" s="674"/>
      <c r="AF4" s="675"/>
      <c r="AG4" s="459"/>
      <c r="AH4" s="53"/>
      <c r="AI4" s="489" t="s">
        <v>333</v>
      </c>
      <c r="AJ4" s="490"/>
      <c r="AK4" s="491"/>
    </row>
    <row r="5" spans="3:37" ht="15.95">
      <c r="C5" s="291" t="s">
        <v>1</v>
      </c>
      <c r="D5" s="288">
        <f>H31</f>
        <v>518.07000000000005</v>
      </c>
      <c r="E5" s="458"/>
      <c r="F5" s="676" t="s">
        <v>276</v>
      </c>
      <c r="G5" s="677"/>
      <c r="H5" s="495" t="s">
        <v>334</v>
      </c>
      <c r="I5" s="497"/>
      <c r="J5" s="669" t="s">
        <v>335</v>
      </c>
      <c r="K5" s="670"/>
      <c r="L5" s="496" t="s">
        <v>336</v>
      </c>
      <c r="M5" s="496"/>
      <c r="N5" s="498" t="s">
        <v>337</v>
      </c>
      <c r="O5" s="497"/>
      <c r="P5" s="498" t="s">
        <v>338</v>
      </c>
      <c r="Q5" s="497"/>
      <c r="R5" s="498" t="s">
        <v>339</v>
      </c>
      <c r="S5" s="496"/>
      <c r="T5" s="300" t="s">
        <v>340</v>
      </c>
      <c r="U5" s="452" t="s">
        <v>9</v>
      </c>
      <c r="V5" s="499" t="s">
        <v>159</v>
      </c>
      <c r="W5" s="500"/>
      <c r="X5" s="501" t="s">
        <v>11</v>
      </c>
      <c r="Y5" s="500"/>
      <c r="Z5" s="501" t="s">
        <v>162</v>
      </c>
      <c r="AA5" s="500"/>
      <c r="AB5" s="501" t="s">
        <v>163</v>
      </c>
      <c r="AC5" s="502"/>
      <c r="AD5" s="295" t="s">
        <v>224</v>
      </c>
      <c r="AE5" s="503" t="s">
        <v>341</v>
      </c>
      <c r="AF5" s="504"/>
      <c r="AG5" s="458"/>
      <c r="AH5" s="53"/>
      <c r="AI5" s="281" t="s">
        <v>334</v>
      </c>
      <c r="AJ5" s="284" t="s">
        <v>342</v>
      </c>
      <c r="AK5" s="279"/>
    </row>
    <row r="6" spans="3:37" ht="15.95">
      <c r="C6" s="292" t="s">
        <v>154</v>
      </c>
      <c r="D6" s="289">
        <f>V31</f>
        <v>252.06</v>
      </c>
      <c r="E6" s="56"/>
      <c r="F6" s="57" t="s">
        <v>6</v>
      </c>
      <c r="G6" s="58" t="s">
        <v>7</v>
      </c>
      <c r="H6" s="446" t="s">
        <v>166</v>
      </c>
      <c r="I6" s="67" t="s">
        <v>7</v>
      </c>
      <c r="J6" s="87" t="s">
        <v>166</v>
      </c>
      <c r="K6" s="67" t="s">
        <v>7</v>
      </c>
      <c r="L6" s="64" t="s">
        <v>166</v>
      </c>
      <c r="M6" s="64" t="s">
        <v>7</v>
      </c>
      <c r="N6" s="87" t="s">
        <v>166</v>
      </c>
      <c r="O6" s="64" t="s">
        <v>7</v>
      </c>
      <c r="P6" s="87" t="s">
        <v>166</v>
      </c>
      <c r="Q6" s="64" t="s">
        <v>7</v>
      </c>
      <c r="R6" s="87" t="s">
        <v>166</v>
      </c>
      <c r="S6" s="64" t="s">
        <v>7</v>
      </c>
      <c r="T6" s="301" t="s">
        <v>7</v>
      </c>
      <c r="U6" s="169" t="s">
        <v>7</v>
      </c>
      <c r="V6" s="446" t="s">
        <v>166</v>
      </c>
      <c r="W6" s="67" t="s">
        <v>7</v>
      </c>
      <c r="X6" s="64" t="s">
        <v>166</v>
      </c>
      <c r="Y6" s="64" t="s">
        <v>7</v>
      </c>
      <c r="Z6" s="87" t="s">
        <v>166</v>
      </c>
      <c r="AA6" s="67" t="s">
        <v>7</v>
      </c>
      <c r="AB6" s="64" t="s">
        <v>166</v>
      </c>
      <c r="AC6" s="64" t="s">
        <v>7</v>
      </c>
      <c r="AD6" s="296" t="s">
        <v>7</v>
      </c>
      <c r="AE6" s="448" t="s">
        <v>166</v>
      </c>
      <c r="AF6" s="447" t="s">
        <v>7</v>
      </c>
      <c r="AG6" s="460"/>
      <c r="AH6" s="53"/>
      <c r="AI6" s="281" t="s">
        <v>335</v>
      </c>
      <c r="AJ6" s="284" t="s">
        <v>343</v>
      </c>
      <c r="AK6" s="279"/>
    </row>
    <row r="7" spans="3:37" ht="15.95">
      <c r="C7" s="293" t="s">
        <v>227</v>
      </c>
      <c r="D7" s="290">
        <f>D5+D6</f>
        <v>770.13000000000011</v>
      </c>
      <c r="E7" s="56"/>
      <c r="F7" s="61" t="s">
        <v>175</v>
      </c>
      <c r="G7" s="62">
        <v>26.01</v>
      </c>
      <c r="H7" s="166" t="s">
        <v>167</v>
      </c>
      <c r="I7" s="71">
        <v>175</v>
      </c>
      <c r="J7" s="75"/>
      <c r="K7" s="71"/>
      <c r="L7" s="53" t="s">
        <v>344</v>
      </c>
      <c r="M7" s="56">
        <v>3.99</v>
      </c>
      <c r="N7" s="69" t="s">
        <v>345</v>
      </c>
      <c r="O7" s="71">
        <v>16.8</v>
      </c>
      <c r="P7" s="69" t="s">
        <v>42</v>
      </c>
      <c r="Q7" s="71">
        <v>64.38</v>
      </c>
      <c r="R7" s="56" t="s">
        <v>286</v>
      </c>
      <c r="S7" s="56">
        <v>10</v>
      </c>
      <c r="T7" s="259"/>
      <c r="U7" s="75">
        <v>3.87</v>
      </c>
      <c r="V7" s="171" t="s">
        <v>346</v>
      </c>
      <c r="W7" s="71">
        <v>1.6</v>
      </c>
      <c r="X7" s="53" t="s">
        <v>347</v>
      </c>
      <c r="Y7" s="56">
        <v>2.4500000000000002</v>
      </c>
      <c r="Z7" s="75" t="s">
        <v>348</v>
      </c>
      <c r="AA7" s="71">
        <v>100</v>
      </c>
      <c r="AB7" s="53" t="s">
        <v>349</v>
      </c>
      <c r="AC7" s="70">
        <v>7</v>
      </c>
      <c r="AD7" s="56">
        <v>3.43</v>
      </c>
      <c r="AE7" s="61"/>
      <c r="AF7" s="70"/>
      <c r="AG7" s="56"/>
      <c r="AH7" s="53"/>
      <c r="AI7" s="281" t="s">
        <v>350</v>
      </c>
      <c r="AJ7" s="284" t="s">
        <v>351</v>
      </c>
      <c r="AK7" s="279"/>
    </row>
    <row r="8" spans="3:37" ht="15.95">
      <c r="C8" s="294" t="s">
        <v>230</v>
      </c>
      <c r="D8" s="60">
        <f>G31</f>
        <v>-0.17000000000007276</v>
      </c>
      <c r="E8" s="56"/>
      <c r="F8" s="61" t="s">
        <v>133</v>
      </c>
      <c r="G8" s="62">
        <v>649.45000000000005</v>
      </c>
      <c r="H8" s="166" t="s">
        <v>240</v>
      </c>
      <c r="I8" s="71">
        <v>48</v>
      </c>
      <c r="J8" s="75"/>
      <c r="K8" s="71"/>
      <c r="L8" s="53" t="s">
        <v>352</v>
      </c>
      <c r="M8" s="56">
        <v>39</v>
      </c>
      <c r="N8" s="75"/>
      <c r="O8" s="56"/>
      <c r="P8" s="75"/>
      <c r="Q8" s="71"/>
      <c r="R8" s="56" t="s">
        <v>353</v>
      </c>
      <c r="S8" s="56">
        <v>1.65</v>
      </c>
      <c r="T8" s="259"/>
      <c r="U8" s="75">
        <v>16.27</v>
      </c>
      <c r="V8" s="171" t="s">
        <v>354</v>
      </c>
      <c r="W8" s="71">
        <v>0.8</v>
      </c>
      <c r="X8" s="53" t="s">
        <v>355</v>
      </c>
      <c r="Y8" s="56">
        <v>35.99</v>
      </c>
      <c r="Z8" s="75"/>
      <c r="AA8" s="71"/>
      <c r="AB8" s="53" t="s">
        <v>356</v>
      </c>
      <c r="AC8" s="56">
        <v>36.119999999999997</v>
      </c>
      <c r="AD8" s="297"/>
      <c r="AE8" s="61"/>
      <c r="AF8" s="70"/>
      <c r="AG8" s="56"/>
      <c r="AH8" s="53"/>
      <c r="AI8" s="281" t="s">
        <v>357</v>
      </c>
      <c r="AJ8" s="284" t="s">
        <v>358</v>
      </c>
      <c r="AK8" s="279"/>
    </row>
    <row r="9" spans="3:37" ht="15.95">
      <c r="C9" s="72"/>
      <c r="D9" s="126"/>
      <c r="E9" s="56"/>
      <c r="F9" s="61" t="s">
        <v>280</v>
      </c>
      <c r="G9" s="62">
        <v>200</v>
      </c>
      <c r="H9" s="166" t="s">
        <v>312</v>
      </c>
      <c r="I9" s="71">
        <v>16.8</v>
      </c>
      <c r="J9" s="75"/>
      <c r="K9" s="71"/>
      <c r="L9" s="56"/>
      <c r="M9" s="56"/>
      <c r="N9" s="75"/>
      <c r="O9" s="56"/>
      <c r="P9" s="75"/>
      <c r="Q9" s="71"/>
      <c r="R9" s="56" t="s">
        <v>359</v>
      </c>
      <c r="S9" s="56">
        <v>3.25</v>
      </c>
      <c r="T9" s="259"/>
      <c r="U9" s="75">
        <v>0.4</v>
      </c>
      <c r="V9" s="171" t="s">
        <v>360</v>
      </c>
      <c r="W9" s="71">
        <v>22</v>
      </c>
      <c r="X9" s="53" t="s">
        <v>361</v>
      </c>
      <c r="Y9" s="56">
        <v>13</v>
      </c>
      <c r="Z9" s="75"/>
      <c r="AA9" s="71"/>
      <c r="AB9" s="53" t="s">
        <v>362</v>
      </c>
      <c r="AC9" s="56">
        <v>10</v>
      </c>
      <c r="AD9" s="297"/>
      <c r="AE9" s="61"/>
      <c r="AF9" s="70"/>
      <c r="AG9" s="56"/>
      <c r="AH9" s="53"/>
      <c r="AI9" s="281" t="s">
        <v>363</v>
      </c>
      <c r="AJ9" s="284" t="s">
        <v>364</v>
      </c>
      <c r="AK9" s="279"/>
    </row>
    <row r="10" spans="3:37" ht="15.95">
      <c r="C10" s="53"/>
      <c r="D10" s="56"/>
      <c r="E10" s="56"/>
      <c r="F10" s="61" t="s">
        <v>365</v>
      </c>
      <c r="G10" s="62">
        <v>28</v>
      </c>
      <c r="H10" s="166"/>
      <c r="I10" s="71"/>
      <c r="J10" s="75"/>
      <c r="K10" s="71"/>
      <c r="L10" s="56"/>
      <c r="M10" s="56"/>
      <c r="N10" s="75"/>
      <c r="O10" s="56"/>
      <c r="P10" s="75"/>
      <c r="Q10" s="71"/>
      <c r="R10" s="56"/>
      <c r="S10" s="56"/>
      <c r="T10" s="259"/>
      <c r="U10" s="273">
        <v>10.67</v>
      </c>
      <c r="V10" s="56" t="s">
        <v>315</v>
      </c>
      <c r="W10" s="71">
        <v>15</v>
      </c>
      <c r="X10" s="53"/>
      <c r="Y10" s="56"/>
      <c r="Z10" s="75"/>
      <c r="AA10" s="71"/>
      <c r="AB10" s="53"/>
      <c r="AC10" s="56"/>
      <c r="AD10" s="297"/>
      <c r="AE10" s="61"/>
      <c r="AF10" s="70"/>
      <c r="AG10" s="56"/>
      <c r="AH10" s="53"/>
      <c r="AI10" s="281" t="s">
        <v>201</v>
      </c>
      <c r="AJ10" s="285" t="s">
        <v>202</v>
      </c>
      <c r="AK10" s="279"/>
    </row>
    <row r="11" spans="3:37" ht="15.95">
      <c r="C11" s="53"/>
      <c r="D11" s="53"/>
      <c r="E11" s="56"/>
      <c r="F11" s="61"/>
      <c r="G11" s="62"/>
      <c r="H11" s="166"/>
      <c r="I11" s="71"/>
      <c r="J11" s="75"/>
      <c r="K11" s="71"/>
      <c r="L11" s="56"/>
      <c r="M11" s="56"/>
      <c r="N11" s="75"/>
      <c r="O11" s="56"/>
      <c r="P11" s="75"/>
      <c r="Q11" s="71"/>
      <c r="R11" s="56"/>
      <c r="S11" s="56"/>
      <c r="T11" s="259"/>
      <c r="U11" s="273">
        <v>43.5</v>
      </c>
      <c r="V11" s="56" t="s">
        <v>366</v>
      </c>
      <c r="W11" s="71">
        <v>4.67</v>
      </c>
      <c r="X11" s="53"/>
      <c r="Y11" s="56"/>
      <c r="Z11" s="75"/>
      <c r="AA11" s="71"/>
      <c r="AB11" s="53"/>
      <c r="AC11" s="56"/>
      <c r="AD11" s="297"/>
      <c r="AE11" s="61"/>
      <c r="AF11" s="70"/>
      <c r="AG11" s="56"/>
      <c r="AH11" s="53"/>
      <c r="AI11" s="281" t="s">
        <v>340</v>
      </c>
      <c r="AJ11" s="285" t="s">
        <v>367</v>
      </c>
      <c r="AK11" s="279"/>
    </row>
    <row r="12" spans="3:37" ht="15.95">
      <c r="C12" s="53"/>
      <c r="D12" s="53"/>
      <c r="E12" s="458"/>
      <c r="F12" s="61"/>
      <c r="G12" s="62"/>
      <c r="H12" s="166"/>
      <c r="I12" s="71"/>
      <c r="J12" s="75"/>
      <c r="K12" s="71"/>
      <c r="L12" s="56"/>
      <c r="M12" s="56"/>
      <c r="N12" s="75"/>
      <c r="O12" s="56"/>
      <c r="P12" s="75"/>
      <c r="Q12" s="71"/>
      <c r="R12" s="56"/>
      <c r="S12" s="56"/>
      <c r="T12" s="259"/>
      <c r="U12" s="75">
        <v>0.39</v>
      </c>
      <c r="V12" s="171"/>
      <c r="W12" s="71"/>
      <c r="X12" s="53"/>
      <c r="Y12" s="56"/>
      <c r="Z12" s="75"/>
      <c r="AA12" s="71"/>
      <c r="AB12" s="53"/>
      <c r="AC12" s="56"/>
      <c r="AD12" s="297"/>
      <c r="AE12" s="61"/>
      <c r="AF12" s="70"/>
      <c r="AG12" s="56"/>
      <c r="AH12" s="53"/>
      <c r="AI12" s="281" t="s">
        <v>9</v>
      </c>
      <c r="AJ12" s="285" t="s">
        <v>210</v>
      </c>
      <c r="AK12" s="279"/>
    </row>
    <row r="13" spans="3:37" ht="15.95">
      <c r="C13" s="53"/>
      <c r="D13" s="53"/>
      <c r="E13" s="77"/>
      <c r="F13" s="61"/>
      <c r="G13" s="76"/>
      <c r="H13" s="166"/>
      <c r="I13" s="71"/>
      <c r="J13" s="75"/>
      <c r="K13" s="71"/>
      <c r="L13" s="56"/>
      <c r="M13" s="56"/>
      <c r="N13" s="75"/>
      <c r="O13" s="56"/>
      <c r="P13" s="75"/>
      <c r="Q13" s="71"/>
      <c r="R13" s="56"/>
      <c r="S13" s="56"/>
      <c r="T13" s="259"/>
      <c r="U13" s="75">
        <v>20</v>
      </c>
      <c r="V13" s="171"/>
      <c r="W13" s="71"/>
      <c r="X13" s="53"/>
      <c r="Y13" s="56"/>
      <c r="Z13" s="75"/>
      <c r="AA13" s="71"/>
      <c r="AB13" s="53"/>
      <c r="AC13" s="56"/>
      <c r="AD13" s="297"/>
      <c r="AE13" s="61"/>
      <c r="AF13" s="70"/>
      <c r="AG13" s="56"/>
      <c r="AH13" s="53"/>
      <c r="AI13" s="282" t="s">
        <v>159</v>
      </c>
      <c r="AJ13" s="286" t="s">
        <v>368</v>
      </c>
      <c r="AK13" s="276"/>
    </row>
    <row r="14" spans="3:37" ht="15.95">
      <c r="C14" s="53"/>
      <c r="D14" s="53"/>
      <c r="E14" s="77"/>
      <c r="F14" s="78"/>
      <c r="G14" s="76"/>
      <c r="H14" s="166"/>
      <c r="I14" s="71"/>
      <c r="J14" s="75"/>
      <c r="K14" s="71"/>
      <c r="L14" s="56"/>
      <c r="M14" s="56"/>
      <c r="N14" s="75"/>
      <c r="O14" s="56"/>
      <c r="P14" s="75"/>
      <c r="Q14" s="71"/>
      <c r="R14" s="56"/>
      <c r="S14" s="56"/>
      <c r="T14" s="259"/>
      <c r="U14" s="75">
        <v>12.67</v>
      </c>
      <c r="V14" s="171"/>
      <c r="W14" s="71"/>
      <c r="X14" s="53"/>
      <c r="Y14" s="56"/>
      <c r="Z14" s="75"/>
      <c r="AA14" s="71"/>
      <c r="AB14" s="53"/>
      <c r="AC14" s="56"/>
      <c r="AD14" s="297"/>
      <c r="AE14" s="61"/>
      <c r="AF14" s="70"/>
      <c r="AG14" s="56"/>
      <c r="AH14" s="53"/>
      <c r="AI14" s="282" t="s">
        <v>161</v>
      </c>
      <c r="AJ14" s="287" t="s">
        <v>369</v>
      </c>
      <c r="AK14" s="276"/>
    </row>
    <row r="15" spans="3:37" ht="15.95">
      <c r="C15" s="53"/>
      <c r="D15" s="53"/>
      <c r="E15" s="77"/>
      <c r="F15" s="78"/>
      <c r="G15" s="76"/>
      <c r="H15" s="166"/>
      <c r="I15" s="71"/>
      <c r="J15" s="75"/>
      <c r="K15" s="71"/>
      <c r="L15" s="56"/>
      <c r="M15" s="56"/>
      <c r="N15" s="75"/>
      <c r="O15" s="56"/>
      <c r="P15" s="75"/>
      <c r="Q15" s="71"/>
      <c r="R15" s="56"/>
      <c r="S15" s="56"/>
      <c r="T15" s="259"/>
      <c r="U15" s="75">
        <v>9.26</v>
      </c>
      <c r="V15" s="171"/>
      <c r="W15" s="71"/>
      <c r="X15" s="53"/>
      <c r="Y15" s="56"/>
      <c r="Z15" s="75"/>
      <c r="AA15" s="71"/>
      <c r="AB15" s="53"/>
      <c r="AC15" s="56"/>
      <c r="AD15" s="297"/>
      <c r="AE15" s="61"/>
      <c r="AF15" s="70"/>
      <c r="AG15" s="56"/>
      <c r="AH15" s="53"/>
      <c r="AI15" s="282" t="s">
        <v>162</v>
      </c>
      <c r="AJ15" s="287" t="s">
        <v>370</v>
      </c>
      <c r="AK15" s="276"/>
    </row>
    <row r="16" spans="3:37" ht="15.95">
      <c r="C16" s="53"/>
      <c r="D16" s="53"/>
      <c r="E16" s="77"/>
      <c r="F16" s="61"/>
      <c r="G16" s="62"/>
      <c r="H16" s="166"/>
      <c r="I16" s="71"/>
      <c r="J16" s="75"/>
      <c r="K16" s="71"/>
      <c r="L16" s="56"/>
      <c r="M16" s="56"/>
      <c r="N16" s="75"/>
      <c r="O16" s="56"/>
      <c r="P16" s="69"/>
      <c r="Q16" s="71"/>
      <c r="R16" s="56"/>
      <c r="S16" s="56"/>
      <c r="T16" s="259"/>
      <c r="U16" s="75">
        <v>5.32</v>
      </c>
      <c r="V16" s="171"/>
      <c r="W16" s="71"/>
      <c r="X16" s="53"/>
      <c r="Y16" s="56"/>
      <c r="Z16" s="75"/>
      <c r="AA16" s="71"/>
      <c r="AB16" s="53"/>
      <c r="AC16" s="56"/>
      <c r="AD16" s="297"/>
      <c r="AE16" s="61"/>
      <c r="AF16" s="70"/>
      <c r="AG16" s="56"/>
      <c r="AH16" s="53"/>
      <c r="AI16" s="282" t="s">
        <v>163</v>
      </c>
      <c r="AJ16" s="286" t="s">
        <v>371</v>
      </c>
      <c r="AK16" s="276"/>
    </row>
    <row r="17" spans="3:37" ht="15.95">
      <c r="C17" s="53"/>
      <c r="D17" s="56"/>
      <c r="E17" s="56"/>
      <c r="F17" s="79"/>
      <c r="G17" s="80"/>
      <c r="H17" s="166"/>
      <c r="I17" s="71"/>
      <c r="J17" s="75"/>
      <c r="K17" s="71"/>
      <c r="L17" s="56"/>
      <c r="M17" s="56"/>
      <c r="N17" s="75"/>
      <c r="O17" s="56"/>
      <c r="P17" s="75"/>
      <c r="Q17" s="71"/>
      <c r="R17" s="56"/>
      <c r="S17" s="56"/>
      <c r="T17" s="259"/>
      <c r="U17" s="75">
        <v>1.62</v>
      </c>
      <c r="V17" s="171"/>
      <c r="W17" s="71"/>
      <c r="X17" s="53"/>
      <c r="Y17" s="56"/>
      <c r="Z17" s="75"/>
      <c r="AA17" s="71"/>
      <c r="AB17" s="53"/>
      <c r="AC17" s="56"/>
      <c r="AD17" s="297"/>
      <c r="AE17" s="61"/>
      <c r="AF17" s="70"/>
      <c r="AG17" s="56"/>
      <c r="AH17" s="53"/>
      <c r="AI17" s="282" t="s">
        <v>224</v>
      </c>
      <c r="AJ17" s="287" t="s">
        <v>225</v>
      </c>
      <c r="AK17" s="276"/>
    </row>
    <row r="18" spans="3:37" ht="17.100000000000001" thickBot="1">
      <c r="C18" s="53"/>
      <c r="D18" s="56"/>
      <c r="E18" s="458"/>
      <c r="F18" s="78"/>
      <c r="G18" s="76"/>
      <c r="H18" s="166"/>
      <c r="I18" s="71"/>
      <c r="J18" s="75"/>
      <c r="K18" s="71"/>
      <c r="L18" s="56"/>
      <c r="M18" s="56"/>
      <c r="N18" s="75"/>
      <c r="O18" s="56"/>
      <c r="P18" s="75"/>
      <c r="Q18" s="71"/>
      <c r="R18" s="56"/>
      <c r="S18" s="56"/>
      <c r="T18" s="259"/>
      <c r="U18" s="75">
        <v>4.8</v>
      </c>
      <c r="V18" s="171"/>
      <c r="W18" s="71"/>
      <c r="X18" s="53"/>
      <c r="Y18" s="56"/>
      <c r="Z18" s="75"/>
      <c r="AA18" s="71"/>
      <c r="AB18" s="53"/>
      <c r="AC18" s="76"/>
      <c r="AD18" s="298"/>
      <c r="AE18" s="255"/>
      <c r="AF18" s="81"/>
      <c r="AG18" s="76"/>
      <c r="AH18" s="53"/>
      <c r="AI18" s="283" t="s">
        <v>341</v>
      </c>
      <c r="AJ18" s="277" t="s">
        <v>372</v>
      </c>
      <c r="AK18" s="278"/>
    </row>
    <row r="19" spans="3:37" ht="15.95">
      <c r="C19" s="53"/>
      <c r="D19" s="53"/>
      <c r="E19" s="77"/>
      <c r="F19" s="78"/>
      <c r="G19" s="76"/>
      <c r="H19" s="166"/>
      <c r="I19" s="71"/>
      <c r="J19" s="75"/>
      <c r="K19" s="71"/>
      <c r="L19" s="56"/>
      <c r="M19" s="56"/>
      <c r="N19" s="75"/>
      <c r="O19" s="56"/>
      <c r="P19" s="75"/>
      <c r="Q19" s="71"/>
      <c r="R19" s="56"/>
      <c r="S19" s="56"/>
      <c r="T19" s="259"/>
      <c r="U19" s="75">
        <v>10.43</v>
      </c>
      <c r="V19" s="171"/>
      <c r="W19" s="71"/>
      <c r="X19" s="53"/>
      <c r="Y19" s="56"/>
      <c r="Z19" s="75"/>
      <c r="AA19" s="71"/>
      <c r="AB19" s="53"/>
      <c r="AC19" s="56"/>
      <c r="AD19" s="297"/>
      <c r="AE19" s="61"/>
      <c r="AF19" s="70"/>
      <c r="AG19" s="56"/>
      <c r="AH19" s="53"/>
      <c r="AI19" s="53"/>
    </row>
    <row r="20" spans="3:37" ht="15.95">
      <c r="C20" s="53"/>
      <c r="D20" s="53"/>
      <c r="E20" s="77"/>
      <c r="F20" s="78"/>
      <c r="G20" s="76"/>
      <c r="H20" s="166"/>
      <c r="I20" s="71"/>
      <c r="J20" s="75"/>
      <c r="K20" s="71"/>
      <c r="L20" s="56"/>
      <c r="M20" s="56"/>
      <c r="N20" s="75"/>
      <c r="O20" s="56"/>
      <c r="P20" s="75"/>
      <c r="Q20" s="71"/>
      <c r="R20" s="56"/>
      <c r="S20" s="56"/>
      <c r="T20" s="259"/>
      <c r="U20" s="75"/>
      <c r="V20" s="171"/>
      <c r="W20" s="71"/>
      <c r="X20" s="53"/>
      <c r="Y20" s="56"/>
      <c r="Z20" s="75"/>
      <c r="AA20" s="71"/>
      <c r="AB20" s="53"/>
      <c r="AC20" s="56"/>
      <c r="AD20" s="297"/>
      <c r="AE20" s="61"/>
      <c r="AF20" s="70"/>
      <c r="AG20" s="56"/>
      <c r="AH20" s="53"/>
      <c r="AI20" s="53"/>
    </row>
    <row r="21" spans="3:37" ht="15.95">
      <c r="C21" s="53"/>
      <c r="D21" s="53"/>
      <c r="E21" s="77"/>
      <c r="F21" s="78"/>
      <c r="G21" s="76"/>
      <c r="H21" s="166"/>
      <c r="I21" s="71"/>
      <c r="J21" s="75"/>
      <c r="K21" s="71"/>
      <c r="L21" s="56"/>
      <c r="M21" s="56"/>
      <c r="N21" s="75"/>
      <c r="O21" s="56"/>
      <c r="P21" s="75"/>
      <c r="Q21" s="71"/>
      <c r="R21" s="56"/>
      <c r="S21" s="56"/>
      <c r="T21" s="259"/>
      <c r="U21" s="75"/>
      <c r="V21" s="171"/>
      <c r="W21" s="71"/>
      <c r="X21" s="53"/>
      <c r="Y21" s="56"/>
      <c r="Z21" s="75"/>
      <c r="AA21" s="71"/>
      <c r="AB21" s="53"/>
      <c r="AC21" s="56"/>
      <c r="AD21" s="297"/>
      <c r="AE21" s="61"/>
      <c r="AF21" s="70"/>
      <c r="AG21" s="56"/>
      <c r="AH21" s="53"/>
      <c r="AI21" s="53"/>
    </row>
    <row r="22" spans="3:37" ht="15.95">
      <c r="C22" s="53"/>
      <c r="D22" s="53"/>
      <c r="E22" s="77"/>
      <c r="F22" s="68"/>
      <c r="G22" s="74"/>
      <c r="H22" s="166"/>
      <c r="I22" s="71"/>
      <c r="J22" s="75"/>
      <c r="K22" s="71"/>
      <c r="L22" s="56"/>
      <c r="M22" s="56"/>
      <c r="N22" s="75"/>
      <c r="O22" s="56"/>
      <c r="P22" s="75"/>
      <c r="Q22" s="71"/>
      <c r="R22" s="56"/>
      <c r="S22" s="56"/>
      <c r="T22" s="259"/>
      <c r="U22" s="75"/>
      <c r="V22" s="171"/>
      <c r="W22" s="71"/>
      <c r="X22" s="53"/>
      <c r="Y22" s="56"/>
      <c r="Z22" s="75"/>
      <c r="AA22" s="71"/>
      <c r="AB22" s="53"/>
      <c r="AC22" s="56"/>
      <c r="AD22" s="297"/>
      <c r="AE22" s="61"/>
      <c r="AF22" s="70"/>
      <c r="AG22" s="56"/>
      <c r="AH22" s="53"/>
      <c r="AI22" s="53"/>
      <c r="AK22" s="112"/>
    </row>
    <row r="23" spans="3:37" ht="15.95">
      <c r="C23" s="53"/>
      <c r="D23" s="53"/>
      <c r="E23" s="77"/>
      <c r="F23" s="68"/>
      <c r="G23" s="74"/>
      <c r="H23" s="166"/>
      <c r="I23" s="71"/>
      <c r="J23" s="75"/>
      <c r="K23" s="71"/>
      <c r="L23" s="56"/>
      <c r="M23" s="56"/>
      <c r="N23" s="75"/>
      <c r="O23" s="56"/>
      <c r="P23" s="75"/>
      <c r="Q23" s="71"/>
      <c r="R23" s="56"/>
      <c r="S23" s="56"/>
      <c r="T23" s="259"/>
      <c r="U23" s="75"/>
      <c r="V23" s="171"/>
      <c r="W23" s="71"/>
      <c r="X23" s="53"/>
      <c r="Y23" s="56"/>
      <c r="Z23" s="75"/>
      <c r="AA23" s="71"/>
      <c r="AB23" s="53"/>
      <c r="AC23" s="56"/>
      <c r="AD23" s="297"/>
      <c r="AE23" s="61"/>
      <c r="AF23" s="70"/>
      <c r="AG23" s="56"/>
      <c r="AH23" s="53"/>
      <c r="AI23" s="53"/>
      <c r="AK23" s="112"/>
    </row>
    <row r="24" spans="3:37" ht="15.95">
      <c r="C24" s="53"/>
      <c r="D24" s="53"/>
      <c r="E24" s="77"/>
      <c r="F24" s="68"/>
      <c r="G24" s="74"/>
      <c r="H24" s="166"/>
      <c r="I24" s="71"/>
      <c r="J24" s="75"/>
      <c r="K24" s="71"/>
      <c r="L24" s="56"/>
      <c r="M24" s="56"/>
      <c r="N24" s="75"/>
      <c r="O24" s="56"/>
      <c r="P24" s="75"/>
      <c r="Q24" s="71"/>
      <c r="R24" s="56"/>
      <c r="S24" s="56"/>
      <c r="T24" s="259"/>
      <c r="U24" s="75"/>
      <c r="V24" s="171"/>
      <c r="W24" s="71"/>
      <c r="X24" s="53"/>
      <c r="Y24" s="56"/>
      <c r="Z24" s="75"/>
      <c r="AA24" s="71"/>
      <c r="AB24" s="53"/>
      <c r="AC24" s="56"/>
      <c r="AD24" s="297"/>
      <c r="AE24" s="61"/>
      <c r="AF24" s="70"/>
      <c r="AG24" s="56"/>
      <c r="AH24" s="53"/>
      <c r="AI24" s="53"/>
      <c r="AK24" s="112"/>
    </row>
    <row r="25" spans="3:37" ht="15.95">
      <c r="C25" s="53"/>
      <c r="D25" s="53"/>
      <c r="E25" s="53"/>
      <c r="F25" s="68"/>
      <c r="G25" s="74"/>
      <c r="H25" s="166"/>
      <c r="I25" s="71"/>
      <c r="J25" s="75"/>
      <c r="K25" s="71"/>
      <c r="L25" s="56"/>
      <c r="M25" s="56"/>
      <c r="N25" s="75"/>
      <c r="O25" s="56"/>
      <c r="P25" s="75"/>
      <c r="Q25" s="71"/>
      <c r="R25" s="56"/>
      <c r="S25" s="56"/>
      <c r="T25" s="259"/>
      <c r="U25" s="75"/>
      <c r="V25" s="171"/>
      <c r="W25" s="71"/>
      <c r="X25" s="53"/>
      <c r="Y25" s="56"/>
      <c r="Z25" s="75"/>
      <c r="AA25" s="71"/>
      <c r="AB25" s="53"/>
      <c r="AC25" s="56"/>
      <c r="AD25" s="297"/>
      <c r="AE25" s="61"/>
      <c r="AF25" s="70"/>
      <c r="AG25" s="56"/>
      <c r="AH25" s="53"/>
      <c r="AI25" s="53"/>
      <c r="AK25" s="112"/>
    </row>
    <row r="26" spans="3:37" ht="15.95">
      <c r="C26" s="53"/>
      <c r="D26" s="53"/>
      <c r="E26" s="53"/>
      <c r="F26" s="68" t="s">
        <v>227</v>
      </c>
      <c r="G26" s="62">
        <f>SUM(G7:G25)</f>
        <v>903.46</v>
      </c>
      <c r="H26" s="166"/>
      <c r="I26" s="71"/>
      <c r="J26" s="75"/>
      <c r="K26" s="71"/>
      <c r="L26" s="56"/>
      <c r="M26" s="56"/>
      <c r="N26" s="75"/>
      <c r="O26" s="56"/>
      <c r="P26" s="75"/>
      <c r="Q26" s="71"/>
      <c r="R26" s="56"/>
      <c r="S26" s="56"/>
      <c r="T26" s="259"/>
      <c r="U26" s="75"/>
      <c r="V26" s="171"/>
      <c r="W26" s="71"/>
      <c r="X26" s="53"/>
      <c r="Y26" s="56"/>
      <c r="Z26" s="75"/>
      <c r="AA26" s="71"/>
      <c r="AB26" s="53"/>
      <c r="AC26" s="56"/>
      <c r="AD26" s="297"/>
      <c r="AE26" s="61"/>
      <c r="AF26" s="70"/>
      <c r="AG26" s="56"/>
      <c r="AH26" s="53"/>
      <c r="AI26" s="53"/>
      <c r="AK26" s="112"/>
    </row>
    <row r="27" spans="3:37" ht="15.95">
      <c r="C27" s="53"/>
      <c r="D27" s="53"/>
      <c r="E27" s="53"/>
      <c r="F27" s="68" t="s">
        <v>16</v>
      </c>
      <c r="G27" s="62">
        <v>125</v>
      </c>
      <c r="H27" s="166"/>
      <c r="I27" s="71"/>
      <c r="J27" s="75"/>
      <c r="K27" s="71"/>
      <c r="L27" s="56"/>
      <c r="M27" s="56"/>
      <c r="N27" s="75"/>
      <c r="O27" s="56"/>
      <c r="P27" s="75"/>
      <c r="Q27" s="71"/>
      <c r="R27" s="56"/>
      <c r="S27" s="56"/>
      <c r="T27" s="259"/>
      <c r="U27" s="75"/>
      <c r="V27" s="171"/>
      <c r="W27" s="71"/>
      <c r="X27" s="53"/>
      <c r="Y27" s="56"/>
      <c r="Z27" s="75"/>
      <c r="AA27" s="71"/>
      <c r="AB27" s="53"/>
      <c r="AC27" s="56"/>
      <c r="AD27" s="297"/>
      <c r="AE27" s="61"/>
      <c r="AF27" s="70"/>
      <c r="AG27" s="56"/>
      <c r="AH27" s="53"/>
      <c r="AI27" s="53"/>
      <c r="AK27" s="112"/>
    </row>
    <row r="28" spans="3:37" ht="15.95">
      <c r="C28" s="53"/>
      <c r="D28" s="53"/>
      <c r="E28" s="53"/>
      <c r="F28" s="68" t="s">
        <v>373</v>
      </c>
      <c r="G28" s="62">
        <v>8.5</v>
      </c>
      <c r="H28" s="166"/>
      <c r="I28" s="71"/>
      <c r="J28" s="75"/>
      <c r="K28" s="71"/>
      <c r="L28" s="56"/>
      <c r="M28" s="56"/>
      <c r="N28" s="75"/>
      <c r="O28" s="56"/>
      <c r="P28" s="75"/>
      <c r="Q28" s="71"/>
      <c r="R28" s="56"/>
      <c r="S28" s="56"/>
      <c r="T28" s="259"/>
      <c r="U28" s="75"/>
      <c r="V28" s="171"/>
      <c r="W28" s="71"/>
      <c r="X28" s="53"/>
      <c r="Y28" s="56"/>
      <c r="Z28" s="75"/>
      <c r="AA28" s="71"/>
      <c r="AB28" s="53"/>
      <c r="AC28" s="56"/>
      <c r="AD28" s="297"/>
      <c r="AE28" s="61"/>
      <c r="AF28" s="70"/>
      <c r="AG28" s="56"/>
      <c r="AH28" s="53"/>
      <c r="AI28" s="53"/>
    </row>
    <row r="29" spans="3:37" ht="15.95">
      <c r="C29" s="53"/>
      <c r="D29" s="53"/>
      <c r="E29" s="53"/>
      <c r="F29" s="68"/>
      <c r="G29" s="62"/>
      <c r="H29" s="166"/>
      <c r="I29" s="71"/>
      <c r="J29" s="75"/>
      <c r="K29" s="71"/>
      <c r="L29" s="56"/>
      <c r="M29" s="56"/>
      <c r="N29" s="75"/>
      <c r="O29" s="56"/>
      <c r="P29" s="75"/>
      <c r="Q29" s="71"/>
      <c r="R29" s="56"/>
      <c r="S29" s="56"/>
      <c r="T29" s="259"/>
      <c r="U29" s="75"/>
      <c r="V29" s="171"/>
      <c r="W29" s="71"/>
      <c r="X29" s="53"/>
      <c r="Y29" s="56"/>
      <c r="Z29" s="75"/>
      <c r="AA29" s="71"/>
      <c r="AB29" s="53"/>
      <c r="AC29" s="56"/>
      <c r="AD29" s="297"/>
      <c r="AE29" s="61"/>
      <c r="AF29" s="70"/>
      <c r="AG29" s="56"/>
      <c r="AH29" s="53"/>
      <c r="AI29" s="53"/>
    </row>
    <row r="30" spans="3:37" ht="15.95">
      <c r="C30" s="53"/>
      <c r="D30" s="53"/>
      <c r="E30" s="53"/>
      <c r="F30" s="122" t="s">
        <v>229</v>
      </c>
      <c r="G30" s="164">
        <f>G26-G27-G28-G29</f>
        <v>769.96</v>
      </c>
      <c r="H30" s="684">
        <f>SUM(I7:I29)</f>
        <v>239.8</v>
      </c>
      <c r="I30" s="481"/>
      <c r="J30" s="671">
        <f>SUM(K7:K29)</f>
        <v>0</v>
      </c>
      <c r="K30" s="672"/>
      <c r="L30" s="480">
        <f>SUM(M7:M29)</f>
        <v>42.99</v>
      </c>
      <c r="M30" s="480"/>
      <c r="N30" s="482">
        <f>SUM(O7:O29)</f>
        <v>16.8</v>
      </c>
      <c r="O30" s="481"/>
      <c r="P30" s="482">
        <f>SUM(Q7:Q29)</f>
        <v>64.38</v>
      </c>
      <c r="Q30" s="481"/>
      <c r="R30" s="471">
        <f>SUM(S7:S29)</f>
        <v>14.9</v>
      </c>
      <c r="S30" s="471"/>
      <c r="T30" s="302">
        <f>SUM(T7:T29)</f>
        <v>0</v>
      </c>
      <c r="U30" s="275">
        <f>SUM(U7:U29)</f>
        <v>139.20000000000005</v>
      </c>
      <c r="V30" s="472">
        <f>SUM(W7:W29)</f>
        <v>44.07</v>
      </c>
      <c r="W30" s="473"/>
      <c r="X30" s="474">
        <f>SUM(Y7:Y29)</f>
        <v>51.440000000000005</v>
      </c>
      <c r="Y30" s="474"/>
      <c r="Z30" s="475">
        <f>SUM(AA7:AA29)</f>
        <v>100</v>
      </c>
      <c r="AA30" s="473"/>
      <c r="AB30" s="474">
        <f>SUM(AC7:AC29)</f>
        <v>53.12</v>
      </c>
      <c r="AC30" s="474"/>
      <c r="AD30" s="299">
        <f>SUM(AD7:AD29)</f>
        <v>3.43</v>
      </c>
      <c r="AE30" s="476">
        <f>SUM(AF7:AF29)</f>
        <v>0</v>
      </c>
      <c r="AF30" s="477"/>
      <c r="AG30" s="56"/>
      <c r="AH30" s="53"/>
      <c r="AI30" s="53"/>
    </row>
    <row r="31" spans="3:37" ht="17.100000000000001" thickBot="1">
      <c r="C31" s="53"/>
      <c r="D31" s="53"/>
      <c r="E31" s="53"/>
      <c r="F31" s="124" t="s">
        <v>230</v>
      </c>
      <c r="G31" s="165">
        <f>G30-H32</f>
        <v>-0.17000000000007276</v>
      </c>
      <c r="H31" s="682">
        <f>SUM(H30:U30)</f>
        <v>518.07000000000005</v>
      </c>
      <c r="I31" s="682"/>
      <c r="J31" s="682"/>
      <c r="K31" s="682"/>
      <c r="L31" s="682"/>
      <c r="M31" s="682"/>
      <c r="N31" s="682"/>
      <c r="O31" s="682"/>
      <c r="P31" s="682"/>
      <c r="Q31" s="682"/>
      <c r="R31" s="682"/>
      <c r="S31" s="682"/>
      <c r="T31" s="682"/>
      <c r="U31" s="682"/>
      <c r="V31" s="685">
        <f>SUM(V30:AF30)</f>
        <v>252.06</v>
      </c>
      <c r="W31" s="686"/>
      <c r="X31" s="686"/>
      <c r="Y31" s="686"/>
      <c r="Z31" s="686"/>
      <c r="AA31" s="686"/>
      <c r="AB31" s="686"/>
      <c r="AC31" s="686"/>
      <c r="AD31" s="686"/>
      <c r="AE31" s="686"/>
      <c r="AF31" s="687"/>
      <c r="AG31" s="56"/>
      <c r="AH31" s="53"/>
      <c r="AI31" s="56"/>
    </row>
    <row r="32" spans="3:37" ht="20.100000000000001" thickBot="1">
      <c r="C32" s="53"/>
      <c r="D32" s="53"/>
      <c r="E32" s="53"/>
      <c r="F32" s="56"/>
      <c r="G32" s="62"/>
      <c r="H32" s="678">
        <f>SUM(H31:AC31)</f>
        <v>770.13000000000011</v>
      </c>
      <c r="I32" s="679"/>
      <c r="J32" s="679"/>
      <c r="K32" s="679"/>
      <c r="L32" s="679"/>
      <c r="M32" s="679"/>
      <c r="N32" s="679"/>
      <c r="O32" s="679"/>
      <c r="P32" s="679"/>
      <c r="Q32" s="679"/>
      <c r="R32" s="679"/>
      <c r="S32" s="679"/>
      <c r="T32" s="679"/>
      <c r="U32" s="679"/>
      <c r="V32" s="679"/>
      <c r="W32" s="679"/>
      <c r="X32" s="679"/>
      <c r="Y32" s="679"/>
      <c r="Z32" s="679"/>
      <c r="AA32" s="679"/>
      <c r="AB32" s="679"/>
      <c r="AC32" s="679"/>
      <c r="AD32" s="679"/>
      <c r="AE32" s="679"/>
      <c r="AF32" s="680"/>
      <c r="AG32" s="56"/>
      <c r="AH32" s="53"/>
    </row>
    <row r="33" spans="3:34" ht="15.95">
      <c r="C33" s="53"/>
      <c r="D33" s="53"/>
      <c r="E33" s="53"/>
      <c r="F33" s="53"/>
      <c r="G33" s="74"/>
      <c r="H33" s="683"/>
      <c r="I33" s="683"/>
      <c r="J33" s="451"/>
      <c r="K33" s="451"/>
      <c r="L33" s="451"/>
      <c r="M33" s="451"/>
      <c r="N33" s="451"/>
      <c r="O33" s="451"/>
      <c r="P33" s="451"/>
      <c r="Q33" s="451"/>
      <c r="R33" s="683"/>
      <c r="S33" s="683"/>
      <c r="T33" s="451"/>
      <c r="U33" s="274"/>
      <c r="V33" s="683"/>
      <c r="W33" s="683"/>
      <c r="X33" s="681"/>
      <c r="Y33" s="681"/>
      <c r="Z33" s="681"/>
      <c r="AA33" s="681"/>
      <c r="AB33" s="681"/>
      <c r="AC33" s="681"/>
      <c r="AD33" s="450"/>
      <c r="AE33" s="450"/>
      <c r="AF33" s="450"/>
      <c r="AG33" s="56"/>
      <c r="AH33" s="53"/>
    </row>
    <row r="34" spans="3:34" ht="15.95">
      <c r="C34" s="53"/>
      <c r="D34" s="53"/>
      <c r="E34" s="53"/>
      <c r="F34" s="53"/>
      <c r="G34" s="450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6"/>
      <c r="W34" s="53"/>
      <c r="X34" s="53"/>
      <c r="Y34" s="56"/>
      <c r="Z34" s="53"/>
      <c r="AA34" s="53"/>
      <c r="AB34" s="53"/>
      <c r="AC34" s="53"/>
      <c r="AD34" s="53"/>
      <c r="AE34" s="53"/>
      <c r="AF34" s="53"/>
      <c r="AG34" s="453"/>
      <c r="AH34" s="53"/>
    </row>
    <row r="35" spans="3:34" ht="15.95">
      <c r="C35" s="53"/>
      <c r="D35" s="53"/>
      <c r="E35" s="53"/>
      <c r="F35" s="53"/>
      <c r="G35" s="53"/>
      <c r="AG35" s="453"/>
      <c r="AH35" s="53"/>
    </row>
    <row r="36" spans="3:34" ht="18.95">
      <c r="C36" s="53"/>
      <c r="D36" s="53"/>
      <c r="E36" s="53"/>
      <c r="AG36" s="455"/>
      <c r="AH36" s="53"/>
    </row>
    <row r="37" spans="3:34" ht="29.1" customHeight="1">
      <c r="C37" s="53"/>
      <c r="D37" s="53"/>
      <c r="E37" s="53"/>
      <c r="AG37" s="450"/>
      <c r="AH37" s="56"/>
    </row>
    <row r="38" spans="3:34" ht="15.95">
      <c r="C38" s="53"/>
      <c r="D38" s="53"/>
      <c r="E38" s="53"/>
      <c r="AG38" s="53"/>
      <c r="AH38" s="53"/>
    </row>
    <row r="39" spans="3:34" ht="15.95">
      <c r="C39" s="53"/>
      <c r="D39" s="53"/>
      <c r="E39" s="53"/>
      <c r="AH39" s="53"/>
    </row>
    <row r="40" spans="3:34" ht="15" customHeight="1">
      <c r="C40" s="53"/>
      <c r="D40" s="53"/>
      <c r="E40" s="53"/>
    </row>
    <row r="41" spans="3:34" ht="15.95">
      <c r="C41" s="53"/>
      <c r="D41" s="53"/>
      <c r="E41" s="53"/>
    </row>
  </sheetData>
  <mergeCells count="36">
    <mergeCell ref="C4:D4"/>
    <mergeCell ref="AB33:AC33"/>
    <mergeCell ref="R30:S30"/>
    <mergeCell ref="AB30:AC30"/>
    <mergeCell ref="H31:U31"/>
    <mergeCell ref="X33:Y33"/>
    <mergeCell ref="Z33:AA33"/>
    <mergeCell ref="H33:I33"/>
    <mergeCell ref="V33:W33"/>
    <mergeCell ref="R33:S33"/>
    <mergeCell ref="H30:I30"/>
    <mergeCell ref="P30:Q30"/>
    <mergeCell ref="V30:W30"/>
    <mergeCell ref="X30:Y30"/>
    <mergeCell ref="Z30:AA30"/>
    <mergeCell ref="V31:AF31"/>
    <mergeCell ref="H32:AF32"/>
    <mergeCell ref="R5:S5"/>
    <mergeCell ref="P5:Q5"/>
    <mergeCell ref="H5:I5"/>
    <mergeCell ref="AB5:AC5"/>
    <mergeCell ref="Z5:AA5"/>
    <mergeCell ref="X5:Y5"/>
    <mergeCell ref="V5:W5"/>
    <mergeCell ref="L5:M5"/>
    <mergeCell ref="AI3:AK3"/>
    <mergeCell ref="AI4:AK4"/>
    <mergeCell ref="J5:K5"/>
    <mergeCell ref="J30:K30"/>
    <mergeCell ref="L30:M30"/>
    <mergeCell ref="N5:O5"/>
    <mergeCell ref="N30:O30"/>
    <mergeCell ref="F4:AF4"/>
    <mergeCell ref="AE5:AF5"/>
    <mergeCell ref="F5:G5"/>
    <mergeCell ref="AE30:AF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DF74-3F0B-4638-8DFD-28D2BBBD3FD8}">
  <sheetPr>
    <tabColor rgb="FFD8E2F4"/>
  </sheetPr>
  <dimension ref="C3:AK73"/>
  <sheetViews>
    <sheetView topLeftCell="S5" zoomScale="82" zoomScaleNormal="61" workbookViewId="0">
      <selection activeCell="H40" sqref="H40"/>
    </sheetView>
  </sheetViews>
  <sheetFormatPr defaultColWidth="8.875" defaultRowHeight="15.75" customHeight="1"/>
  <cols>
    <col min="3" max="3" width="18.375" customWidth="1"/>
    <col min="4" max="4" width="16.125" customWidth="1"/>
    <col min="6" max="6" width="17" customWidth="1"/>
    <col min="7" max="7" width="14.625" customWidth="1"/>
    <col min="8" max="8" width="21.875" customWidth="1"/>
    <col min="9" max="9" width="11.125" customWidth="1"/>
    <col min="10" max="10" width="10.875" customWidth="1"/>
    <col min="11" max="11" width="11.5" customWidth="1"/>
    <col min="12" max="12" width="19" customWidth="1"/>
    <col min="13" max="13" width="15.5" customWidth="1"/>
    <col min="14" max="14" width="18.875" customWidth="1"/>
    <col min="15" max="15" width="14.625" customWidth="1"/>
    <col min="16" max="16" width="12.375" customWidth="1"/>
    <col min="17" max="17" width="17.625" customWidth="1"/>
    <col min="18" max="18" width="17" customWidth="1"/>
    <col min="19" max="19" width="8" customWidth="1"/>
    <col min="20" max="20" width="12.625" customWidth="1"/>
    <col min="21" max="21" width="15.375" customWidth="1"/>
    <col min="22" max="22" width="14" customWidth="1"/>
    <col min="24" max="24" width="14.125" customWidth="1"/>
    <col min="25" max="25" width="20.125" customWidth="1"/>
    <col min="26" max="26" width="29.125" customWidth="1"/>
    <col min="28" max="28" width="18.375" customWidth="1"/>
    <col min="29" max="29" width="16.875" customWidth="1"/>
    <col min="36" max="36" width="63.5" customWidth="1"/>
  </cols>
  <sheetData>
    <row r="3" spans="3:37" ht="17.100000000000001" thickBot="1"/>
    <row r="4" spans="3:37" ht="21.75" customHeight="1">
      <c r="C4" s="484" t="s">
        <v>0</v>
      </c>
      <c r="D4" s="485"/>
      <c r="E4" s="456"/>
      <c r="F4" s="673" t="s">
        <v>374</v>
      </c>
      <c r="G4" s="674"/>
      <c r="H4" s="674"/>
      <c r="I4" s="674"/>
      <c r="J4" s="674"/>
      <c r="K4" s="674"/>
      <c r="L4" s="674"/>
      <c r="M4" s="674"/>
      <c r="N4" s="674"/>
      <c r="O4" s="674"/>
      <c r="P4" s="674"/>
      <c r="Q4" s="674"/>
      <c r="R4" s="674"/>
      <c r="S4" s="674"/>
      <c r="T4" s="674"/>
      <c r="U4" s="674"/>
      <c r="V4" s="674"/>
      <c r="W4" s="674"/>
      <c r="X4" s="674"/>
      <c r="Y4" s="674"/>
      <c r="Z4" s="674"/>
      <c r="AA4" s="674"/>
      <c r="AB4" s="674"/>
      <c r="AC4" s="674"/>
      <c r="AD4" s="674"/>
      <c r="AE4" s="674"/>
      <c r="AF4" s="675"/>
      <c r="AG4" s="459"/>
      <c r="AH4" s="53"/>
      <c r="AI4" s="489" t="s">
        <v>333</v>
      </c>
      <c r="AJ4" s="490"/>
      <c r="AK4" s="491"/>
    </row>
    <row r="5" spans="3:37" ht="15" customHeight="1">
      <c r="C5" s="291" t="s">
        <v>1</v>
      </c>
      <c r="D5" s="288">
        <f>H31</f>
        <v>494.70999999999992</v>
      </c>
      <c r="E5" s="458"/>
      <c r="F5" s="676" t="s">
        <v>276</v>
      </c>
      <c r="G5" s="677"/>
      <c r="H5" s="495" t="s">
        <v>334</v>
      </c>
      <c r="I5" s="497"/>
      <c r="J5" s="669" t="s">
        <v>335</v>
      </c>
      <c r="K5" s="670"/>
      <c r="L5" s="496" t="s">
        <v>336</v>
      </c>
      <c r="M5" s="496"/>
      <c r="N5" s="498" t="s">
        <v>337</v>
      </c>
      <c r="O5" s="497"/>
      <c r="P5" s="498" t="s">
        <v>338</v>
      </c>
      <c r="Q5" s="497"/>
      <c r="R5" s="498" t="s">
        <v>339</v>
      </c>
      <c r="S5" s="496"/>
      <c r="T5" s="300" t="s">
        <v>340</v>
      </c>
      <c r="U5" s="452" t="s">
        <v>9</v>
      </c>
      <c r="V5" s="499" t="s">
        <v>159</v>
      </c>
      <c r="W5" s="500"/>
      <c r="X5" s="501" t="s">
        <v>11</v>
      </c>
      <c r="Y5" s="500"/>
      <c r="Z5" s="501" t="s">
        <v>162</v>
      </c>
      <c r="AA5" s="500"/>
      <c r="AB5" s="501" t="s">
        <v>163</v>
      </c>
      <c r="AC5" s="502"/>
      <c r="AD5" s="295" t="s">
        <v>224</v>
      </c>
      <c r="AE5" s="503" t="s">
        <v>341</v>
      </c>
      <c r="AF5" s="504"/>
      <c r="AG5" s="458"/>
      <c r="AH5" s="53"/>
      <c r="AI5" s="281" t="s">
        <v>334</v>
      </c>
      <c r="AJ5" s="284" t="s">
        <v>342</v>
      </c>
      <c r="AK5" s="279"/>
    </row>
    <row r="6" spans="3:37" ht="15.95">
      <c r="C6" s="292" t="s">
        <v>154</v>
      </c>
      <c r="D6" s="289">
        <f>V31</f>
        <v>95.23</v>
      </c>
      <c r="E6" s="56"/>
      <c r="F6" s="57" t="s">
        <v>6</v>
      </c>
      <c r="G6" s="58" t="s">
        <v>7</v>
      </c>
      <c r="H6" s="446" t="s">
        <v>166</v>
      </c>
      <c r="I6" s="67" t="s">
        <v>7</v>
      </c>
      <c r="J6" s="87" t="s">
        <v>166</v>
      </c>
      <c r="K6" s="67" t="s">
        <v>7</v>
      </c>
      <c r="L6" s="64" t="s">
        <v>166</v>
      </c>
      <c r="M6" s="64" t="s">
        <v>7</v>
      </c>
      <c r="N6" s="87" t="s">
        <v>166</v>
      </c>
      <c r="O6" s="64" t="s">
        <v>7</v>
      </c>
      <c r="P6" s="87" t="s">
        <v>166</v>
      </c>
      <c r="Q6" s="64" t="s">
        <v>7</v>
      </c>
      <c r="R6" s="87" t="s">
        <v>166</v>
      </c>
      <c r="S6" s="64" t="s">
        <v>7</v>
      </c>
      <c r="T6" s="301" t="s">
        <v>7</v>
      </c>
      <c r="U6" s="169" t="s">
        <v>7</v>
      </c>
      <c r="V6" s="446" t="s">
        <v>166</v>
      </c>
      <c r="W6" s="67" t="s">
        <v>7</v>
      </c>
      <c r="X6" s="64" t="s">
        <v>166</v>
      </c>
      <c r="Y6" s="64" t="s">
        <v>7</v>
      </c>
      <c r="Z6" s="87" t="s">
        <v>166</v>
      </c>
      <c r="AA6" s="67" t="s">
        <v>7</v>
      </c>
      <c r="AB6" s="64" t="s">
        <v>166</v>
      </c>
      <c r="AC6" s="64" t="s">
        <v>7</v>
      </c>
      <c r="AD6" s="296" t="s">
        <v>7</v>
      </c>
      <c r="AE6" s="448" t="s">
        <v>166</v>
      </c>
      <c r="AF6" s="447" t="s">
        <v>7</v>
      </c>
      <c r="AG6" s="460"/>
      <c r="AH6" s="53"/>
      <c r="AI6" s="281" t="s">
        <v>335</v>
      </c>
      <c r="AJ6" s="284" t="s">
        <v>343</v>
      </c>
      <c r="AK6" s="279"/>
    </row>
    <row r="7" spans="3:37" ht="15.95">
      <c r="C7" s="293" t="s">
        <v>227</v>
      </c>
      <c r="D7" s="290">
        <f>D5+D6</f>
        <v>589.93999999999994</v>
      </c>
      <c r="E7" s="56"/>
      <c r="F7" s="61" t="s">
        <v>175</v>
      </c>
      <c r="G7" s="62"/>
      <c r="H7" s="166" t="s">
        <v>167</v>
      </c>
      <c r="I7" s="71">
        <v>175</v>
      </c>
      <c r="J7" s="69" t="s">
        <v>375</v>
      </c>
      <c r="K7" s="71">
        <v>50</v>
      </c>
      <c r="L7" s="53" t="s">
        <v>376</v>
      </c>
      <c r="M7" s="56">
        <v>4.5</v>
      </c>
      <c r="N7" s="69" t="s">
        <v>377</v>
      </c>
      <c r="O7" s="71">
        <v>16.899999999999999</v>
      </c>
      <c r="P7" s="53" t="s">
        <v>42</v>
      </c>
      <c r="Q7" s="71">
        <v>64.31</v>
      </c>
      <c r="R7" s="56" t="s">
        <v>266</v>
      </c>
      <c r="S7" s="56">
        <v>19.399999999999999</v>
      </c>
      <c r="T7" s="259"/>
      <c r="U7" s="75">
        <v>58</v>
      </c>
      <c r="V7" s="171" t="s">
        <v>378</v>
      </c>
      <c r="W7" s="71">
        <v>7.99</v>
      </c>
      <c r="X7" s="53" t="s">
        <v>379</v>
      </c>
      <c r="Y7" s="53">
        <v>26.6</v>
      </c>
      <c r="Z7" s="53" t="s">
        <v>380</v>
      </c>
      <c r="AA7" s="71">
        <v>9.77</v>
      </c>
      <c r="AB7" s="53" t="s">
        <v>381</v>
      </c>
      <c r="AC7" s="70">
        <v>5.15</v>
      </c>
      <c r="AD7" s="56"/>
      <c r="AE7" s="61"/>
      <c r="AF7" s="70"/>
      <c r="AG7" s="56"/>
      <c r="AH7" s="53"/>
      <c r="AI7" s="281" t="s">
        <v>350</v>
      </c>
      <c r="AJ7" s="284" t="s">
        <v>351</v>
      </c>
      <c r="AK7" s="279"/>
    </row>
    <row r="8" spans="3:37" ht="15.95">
      <c r="C8" s="294" t="s">
        <v>230</v>
      </c>
      <c r="D8" s="60">
        <f>G31</f>
        <v>3.6100000000000136</v>
      </c>
      <c r="E8" s="56"/>
      <c r="F8" s="61" t="s">
        <v>133</v>
      </c>
      <c r="G8" s="62">
        <v>593.54999999999995</v>
      </c>
      <c r="H8" s="166" t="s">
        <v>382</v>
      </c>
      <c r="I8" s="71">
        <v>20</v>
      </c>
      <c r="J8" s="75"/>
      <c r="K8" s="71"/>
      <c r="L8" s="53"/>
      <c r="M8" s="56"/>
      <c r="N8" s="23" t="s">
        <v>383</v>
      </c>
      <c r="O8" s="71">
        <v>10</v>
      </c>
      <c r="P8" s="56"/>
      <c r="Q8" s="71"/>
      <c r="R8" s="56" t="s">
        <v>384</v>
      </c>
      <c r="S8" s="56">
        <v>2.5</v>
      </c>
      <c r="T8" s="259"/>
      <c r="U8" s="75">
        <v>3.14</v>
      </c>
      <c r="V8" s="171"/>
      <c r="W8" s="71"/>
      <c r="X8" s="53" t="s">
        <v>385</v>
      </c>
      <c r="Y8" s="56">
        <v>1.5</v>
      </c>
      <c r="Z8" s="75" t="s">
        <v>386</v>
      </c>
      <c r="AA8" s="71">
        <v>7.33</v>
      </c>
      <c r="AB8" s="53"/>
      <c r="AC8" s="70"/>
      <c r="AD8" s="70"/>
      <c r="AE8" s="61"/>
      <c r="AF8" s="70"/>
      <c r="AG8" s="56"/>
      <c r="AH8" s="53"/>
      <c r="AI8" s="281" t="s">
        <v>357</v>
      </c>
      <c r="AJ8" s="284" t="s">
        <v>358</v>
      </c>
      <c r="AK8" s="279"/>
    </row>
    <row r="9" spans="3:37" ht="15.95">
      <c r="C9" s="72"/>
      <c r="D9" s="126"/>
      <c r="E9" s="56"/>
      <c r="F9" s="61"/>
      <c r="G9" s="62"/>
      <c r="H9" s="166" t="s">
        <v>387</v>
      </c>
      <c r="I9" s="71"/>
      <c r="J9" s="75"/>
      <c r="K9" s="71"/>
      <c r="L9" s="56"/>
      <c r="M9" s="56"/>
      <c r="N9" s="75"/>
      <c r="O9" s="71"/>
      <c r="P9" s="56"/>
      <c r="Q9" s="71"/>
      <c r="R9" s="56"/>
      <c r="S9" s="56"/>
      <c r="T9" s="259"/>
      <c r="U9" s="75">
        <v>50</v>
      </c>
      <c r="V9" s="171"/>
      <c r="W9" s="71"/>
      <c r="X9" s="53" t="s">
        <v>388</v>
      </c>
      <c r="Y9" s="56">
        <v>12.99</v>
      </c>
      <c r="Z9" s="75"/>
      <c r="AA9" s="71"/>
      <c r="AB9" s="239" t="s">
        <v>389</v>
      </c>
      <c r="AC9" s="303">
        <v>8.9</v>
      </c>
      <c r="AD9" s="70"/>
      <c r="AE9" s="61"/>
      <c r="AF9" s="70"/>
      <c r="AG9" s="56"/>
      <c r="AH9" s="53"/>
      <c r="AI9" s="281" t="s">
        <v>363</v>
      </c>
      <c r="AJ9" s="284" t="s">
        <v>364</v>
      </c>
      <c r="AK9" s="279"/>
    </row>
    <row r="10" spans="3:37" ht="15.95">
      <c r="C10" s="53"/>
      <c r="D10" s="56"/>
      <c r="E10" s="56"/>
      <c r="F10" s="61"/>
      <c r="G10" s="62"/>
      <c r="H10" s="166"/>
      <c r="I10" s="71"/>
      <c r="J10" s="75"/>
      <c r="K10" s="71"/>
      <c r="L10" s="56"/>
      <c r="M10" s="56"/>
      <c r="N10" s="75"/>
      <c r="O10" s="71"/>
      <c r="P10" s="56"/>
      <c r="Q10" s="71"/>
      <c r="R10" s="56"/>
      <c r="S10" s="56"/>
      <c r="T10" s="259"/>
      <c r="U10" s="75">
        <v>3.83</v>
      </c>
      <c r="V10" s="171"/>
      <c r="W10" s="71"/>
      <c r="X10" s="53"/>
      <c r="Y10" s="56"/>
      <c r="Z10" s="75"/>
      <c r="AA10" s="71"/>
      <c r="AB10" s="239" t="s">
        <v>390</v>
      </c>
      <c r="AC10" s="303">
        <v>3.7</v>
      </c>
      <c r="AD10" s="70"/>
      <c r="AE10" s="61"/>
      <c r="AF10" s="70"/>
      <c r="AG10" s="56"/>
      <c r="AH10" s="53"/>
      <c r="AI10" s="281" t="s">
        <v>201</v>
      </c>
      <c r="AJ10" s="285" t="s">
        <v>202</v>
      </c>
      <c r="AK10" s="279"/>
    </row>
    <row r="11" spans="3:37" ht="15.95">
      <c r="C11" s="53"/>
      <c r="D11" s="53"/>
      <c r="E11" s="56"/>
      <c r="F11" s="61"/>
      <c r="G11" s="62"/>
      <c r="H11" s="166"/>
      <c r="I11" s="71"/>
      <c r="J11" s="75"/>
      <c r="K11" s="71"/>
      <c r="L11" s="56"/>
      <c r="M11" s="56"/>
      <c r="N11" s="75"/>
      <c r="O11" s="71"/>
      <c r="P11" s="56"/>
      <c r="Q11" s="71"/>
      <c r="R11" s="56"/>
      <c r="S11" s="56"/>
      <c r="T11" s="259"/>
      <c r="U11" s="75">
        <v>2.25</v>
      </c>
      <c r="V11" s="171"/>
      <c r="W11" s="71"/>
      <c r="X11" s="53"/>
      <c r="Y11" s="56"/>
      <c r="Z11" s="75"/>
      <c r="AA11" s="71"/>
      <c r="AB11" s="239" t="s">
        <v>391</v>
      </c>
      <c r="AC11" s="303">
        <v>4.3</v>
      </c>
      <c r="AD11" s="70"/>
      <c r="AE11" s="61"/>
      <c r="AF11" s="70"/>
      <c r="AG11" s="56"/>
      <c r="AH11" s="53"/>
      <c r="AI11" s="281" t="s">
        <v>340</v>
      </c>
      <c r="AJ11" s="285" t="s">
        <v>367</v>
      </c>
      <c r="AK11" s="279"/>
    </row>
    <row r="12" spans="3:37" ht="15" customHeight="1">
      <c r="C12" s="483" t="s">
        <v>392</v>
      </c>
      <c r="D12" s="483"/>
      <c r="E12" s="458"/>
      <c r="F12" s="61"/>
      <c r="G12" s="62"/>
      <c r="H12" s="166"/>
      <c r="I12" s="71"/>
      <c r="J12" s="75"/>
      <c r="K12" s="71"/>
      <c r="L12" s="56"/>
      <c r="M12" s="56"/>
      <c r="N12" s="75"/>
      <c r="O12" s="71"/>
      <c r="P12" s="56"/>
      <c r="Q12" s="71"/>
      <c r="R12" s="56"/>
      <c r="S12" s="56"/>
      <c r="T12" s="259"/>
      <c r="U12" s="75">
        <v>1.83</v>
      </c>
      <c r="V12" s="171"/>
      <c r="W12" s="71"/>
      <c r="X12" s="53"/>
      <c r="Y12" s="56"/>
      <c r="Z12" s="75"/>
      <c r="AA12" s="71"/>
      <c r="AB12" s="239" t="s">
        <v>393</v>
      </c>
      <c r="AC12" s="303">
        <v>5</v>
      </c>
      <c r="AD12" s="70"/>
      <c r="AE12" s="61"/>
      <c r="AF12" s="70"/>
      <c r="AG12" s="56"/>
      <c r="AH12" s="53"/>
      <c r="AI12" s="281" t="s">
        <v>9</v>
      </c>
      <c r="AJ12" s="285" t="s">
        <v>210</v>
      </c>
      <c r="AK12" s="279"/>
    </row>
    <row r="13" spans="3:37" ht="15" customHeight="1">
      <c r="C13" s="248" t="s">
        <v>394</v>
      </c>
      <c r="D13" s="249">
        <v>589</v>
      </c>
      <c r="E13" s="77"/>
      <c r="F13" s="61"/>
      <c r="G13" s="76"/>
      <c r="H13" s="166"/>
      <c r="I13" s="71"/>
      <c r="J13" s="75"/>
      <c r="K13" s="71"/>
      <c r="L13" s="56"/>
      <c r="M13" s="56"/>
      <c r="N13" s="75"/>
      <c r="O13" s="71"/>
      <c r="P13" s="56"/>
      <c r="Q13" s="71"/>
      <c r="R13" s="56"/>
      <c r="S13" s="56"/>
      <c r="T13" s="259"/>
      <c r="U13" s="75"/>
      <c r="V13" s="171"/>
      <c r="W13" s="71"/>
      <c r="X13" s="53"/>
      <c r="Y13" s="56"/>
      <c r="Z13" s="75"/>
      <c r="AA13" s="71"/>
      <c r="AB13" s="159" t="s">
        <v>395</v>
      </c>
      <c r="AC13" s="303"/>
      <c r="AD13" s="70"/>
      <c r="AE13" s="61"/>
      <c r="AF13" s="70"/>
      <c r="AG13" s="56"/>
      <c r="AH13" s="53"/>
      <c r="AI13" s="282" t="s">
        <v>159</v>
      </c>
      <c r="AJ13" s="286" t="s">
        <v>368</v>
      </c>
      <c r="AK13" s="276"/>
    </row>
    <row r="14" spans="3:37" ht="15" customHeight="1">
      <c r="C14" s="248" t="s">
        <v>396</v>
      </c>
      <c r="D14" s="249">
        <f>G27</f>
        <v>0</v>
      </c>
      <c r="E14" s="77"/>
      <c r="F14" s="78"/>
      <c r="G14" s="76"/>
      <c r="H14" s="166"/>
      <c r="I14" s="71"/>
      <c r="J14" s="75"/>
      <c r="K14" s="71"/>
      <c r="L14" s="56"/>
      <c r="M14" s="56"/>
      <c r="N14" s="75"/>
      <c r="O14" s="71"/>
      <c r="P14" s="56"/>
      <c r="Q14" s="71"/>
      <c r="R14" s="56"/>
      <c r="S14" s="56"/>
      <c r="T14" s="259"/>
      <c r="U14" s="75">
        <v>5.16</v>
      </c>
      <c r="V14" s="171"/>
      <c r="W14" s="71"/>
      <c r="X14" s="53"/>
      <c r="Y14" s="56"/>
      <c r="Z14" s="75"/>
      <c r="AA14" s="71"/>
      <c r="AB14" s="159" t="s">
        <v>397</v>
      </c>
      <c r="AC14" s="303">
        <v>2</v>
      </c>
      <c r="AD14" s="70"/>
      <c r="AE14" s="61"/>
      <c r="AF14" s="70"/>
      <c r="AG14" s="56"/>
      <c r="AH14" s="53"/>
      <c r="AI14" s="282" t="s">
        <v>161</v>
      </c>
      <c r="AJ14" s="287" t="s">
        <v>369</v>
      </c>
      <c r="AK14" s="276"/>
    </row>
    <row r="15" spans="3:37" ht="15.95">
      <c r="C15" s="61" t="s">
        <v>280</v>
      </c>
      <c r="D15" s="249">
        <v>200</v>
      </c>
      <c r="E15" s="77"/>
      <c r="F15" s="78"/>
      <c r="G15" s="76"/>
      <c r="H15" s="166"/>
      <c r="I15" s="71"/>
      <c r="J15" s="75"/>
      <c r="K15" s="71"/>
      <c r="L15" s="56"/>
      <c r="M15" s="56"/>
      <c r="N15" s="75"/>
      <c r="O15" s="71"/>
      <c r="P15" s="56"/>
      <c r="Q15" s="71"/>
      <c r="R15" s="56"/>
      <c r="S15" s="56"/>
      <c r="T15" s="259"/>
      <c r="U15" s="75">
        <v>7.89</v>
      </c>
      <c r="V15" s="171"/>
      <c r="W15" s="71"/>
      <c r="X15" s="53"/>
      <c r="Y15" s="56"/>
      <c r="Z15" s="75"/>
      <c r="AA15" s="71"/>
      <c r="AB15" s="53"/>
      <c r="AC15" s="70"/>
      <c r="AD15" s="70"/>
      <c r="AE15" s="61"/>
      <c r="AF15" s="70"/>
      <c r="AG15" s="56"/>
      <c r="AH15" s="53"/>
      <c r="AI15" s="282" t="s">
        <v>162</v>
      </c>
      <c r="AJ15" s="287" t="s">
        <v>370</v>
      </c>
      <c r="AK15" s="276"/>
    </row>
    <row r="16" spans="3:37" ht="15" customHeight="1">
      <c r="C16" s="250"/>
      <c r="D16" s="251"/>
      <c r="E16" s="77"/>
      <c r="F16" s="61"/>
      <c r="G16" s="62"/>
      <c r="H16" s="166"/>
      <c r="I16" s="71"/>
      <c r="J16" s="75"/>
      <c r="K16" s="71"/>
      <c r="L16" s="56"/>
      <c r="M16" s="56"/>
      <c r="N16" s="75"/>
      <c r="O16" s="71"/>
      <c r="P16" s="53"/>
      <c r="Q16" s="71"/>
      <c r="R16" s="56"/>
      <c r="S16" s="56"/>
      <c r="T16" s="259"/>
      <c r="U16" s="75"/>
      <c r="V16" s="171"/>
      <c r="W16" s="71"/>
      <c r="X16" s="53"/>
      <c r="Y16" s="56"/>
      <c r="Z16" s="75"/>
      <c r="AA16" s="71"/>
      <c r="AB16" s="53"/>
      <c r="AC16" s="70"/>
      <c r="AD16" s="70"/>
      <c r="AE16" s="61"/>
      <c r="AF16" s="70"/>
      <c r="AG16" s="56"/>
      <c r="AH16" s="53"/>
      <c r="AI16" s="282" t="s">
        <v>163</v>
      </c>
      <c r="AJ16" s="286" t="s">
        <v>371</v>
      </c>
      <c r="AK16" s="276"/>
    </row>
    <row r="17" spans="3:37" ht="15.95">
      <c r="C17" s="248"/>
      <c r="D17" s="249"/>
      <c r="E17" s="56"/>
      <c r="F17" s="79"/>
      <c r="G17" s="80"/>
      <c r="H17" s="166"/>
      <c r="I17" s="71"/>
      <c r="J17" s="75"/>
      <c r="K17" s="71"/>
      <c r="L17" s="56"/>
      <c r="M17" s="56"/>
      <c r="N17" s="75"/>
      <c r="O17" s="71"/>
      <c r="P17" s="56"/>
      <c r="Q17" s="71"/>
      <c r="R17" s="56"/>
      <c r="S17" s="56"/>
      <c r="T17" s="259"/>
      <c r="U17" s="75"/>
      <c r="V17" s="171"/>
      <c r="W17" s="71"/>
      <c r="X17" s="53"/>
      <c r="Y17" s="56"/>
      <c r="Z17" s="75"/>
      <c r="AA17" s="71"/>
      <c r="AB17" s="53"/>
      <c r="AC17" s="70"/>
      <c r="AD17" s="70"/>
      <c r="AE17" s="61"/>
      <c r="AF17" s="70"/>
      <c r="AG17" s="56"/>
      <c r="AH17" s="53"/>
      <c r="AI17" s="282" t="s">
        <v>224</v>
      </c>
      <c r="AJ17" s="287" t="s">
        <v>225</v>
      </c>
      <c r="AK17" s="276"/>
    </row>
    <row r="18" spans="3:37" ht="15" customHeight="1" thickBot="1">
      <c r="C18" s="248"/>
      <c r="D18" s="249"/>
      <c r="E18" s="458"/>
      <c r="F18" s="78"/>
      <c r="G18" s="76"/>
      <c r="H18" s="166"/>
      <c r="I18" s="71"/>
      <c r="J18" s="75"/>
      <c r="K18" s="71"/>
      <c r="L18" s="56"/>
      <c r="M18" s="56"/>
      <c r="N18" s="75"/>
      <c r="O18" s="71"/>
      <c r="P18" s="56"/>
      <c r="Q18" s="71"/>
      <c r="R18" s="56"/>
      <c r="S18" s="56"/>
      <c r="T18" s="259"/>
      <c r="U18" s="75"/>
      <c r="V18" s="171"/>
      <c r="W18" s="71"/>
      <c r="X18" s="53"/>
      <c r="Y18" s="56"/>
      <c r="Z18" s="75"/>
      <c r="AA18" s="71"/>
      <c r="AB18" s="53"/>
      <c r="AC18" s="81"/>
      <c r="AD18" s="81"/>
      <c r="AE18" s="255"/>
      <c r="AF18" s="81"/>
      <c r="AG18" s="76"/>
      <c r="AH18" s="53"/>
      <c r="AI18" s="283" t="s">
        <v>341</v>
      </c>
      <c r="AJ18" s="277" t="s">
        <v>372</v>
      </c>
      <c r="AK18" s="278"/>
    </row>
    <row r="19" spans="3:37" ht="15" customHeight="1">
      <c r="C19" s="250"/>
      <c r="D19" s="251"/>
      <c r="E19" s="77"/>
      <c r="F19" s="78"/>
      <c r="G19" s="76"/>
      <c r="H19" s="166"/>
      <c r="I19" s="71"/>
      <c r="J19" s="75"/>
      <c r="K19" s="71"/>
      <c r="L19" s="56"/>
      <c r="M19" s="56"/>
      <c r="N19" s="75"/>
      <c r="O19" s="71"/>
      <c r="P19" s="56"/>
      <c r="Q19" s="71"/>
      <c r="R19" s="56"/>
      <c r="S19" s="56"/>
      <c r="T19" s="259"/>
      <c r="U19" s="75"/>
      <c r="V19" s="171"/>
      <c r="W19" s="71"/>
      <c r="X19" s="53"/>
      <c r="Y19" s="56"/>
      <c r="Z19" s="75"/>
      <c r="AA19" s="71"/>
      <c r="AB19" s="53"/>
      <c r="AC19" s="70"/>
      <c r="AD19" s="70"/>
      <c r="AE19" s="61"/>
      <c r="AF19" s="70"/>
      <c r="AG19" s="56"/>
      <c r="AH19" s="53"/>
      <c r="AI19" s="53"/>
    </row>
    <row r="20" spans="3:37" ht="15" customHeight="1">
      <c r="C20" s="250"/>
      <c r="D20" s="251"/>
      <c r="E20" s="77"/>
      <c r="F20" s="78"/>
      <c r="G20" s="76"/>
      <c r="H20" s="166"/>
      <c r="I20" s="71"/>
      <c r="J20" s="75"/>
      <c r="K20" s="71"/>
      <c r="L20" s="56"/>
      <c r="M20" s="56"/>
      <c r="N20" s="75"/>
      <c r="O20" s="71"/>
      <c r="P20" s="56"/>
      <c r="Q20" s="71"/>
      <c r="R20" s="56"/>
      <c r="S20" s="56"/>
      <c r="T20" s="259"/>
      <c r="U20" s="75"/>
      <c r="V20" s="171"/>
      <c r="W20" s="71"/>
      <c r="X20" s="53"/>
      <c r="Y20" s="56"/>
      <c r="Z20" s="75"/>
      <c r="AA20" s="71"/>
      <c r="AB20" s="53"/>
      <c r="AC20" s="70"/>
      <c r="AD20" s="70"/>
      <c r="AE20" s="61"/>
      <c r="AF20" s="70"/>
      <c r="AG20" s="56"/>
      <c r="AH20" s="53"/>
      <c r="AI20" s="53"/>
    </row>
    <row r="21" spans="3:37" ht="15" customHeight="1">
      <c r="C21" s="252" t="s">
        <v>227</v>
      </c>
      <c r="D21" s="253">
        <f>SUM(D13:D20)</f>
        <v>789</v>
      </c>
      <c r="E21" s="77"/>
      <c r="F21" s="78"/>
      <c r="G21" s="76"/>
      <c r="H21" s="166"/>
      <c r="I21" s="71"/>
      <c r="J21" s="75"/>
      <c r="K21" s="71"/>
      <c r="L21" s="56"/>
      <c r="M21" s="56"/>
      <c r="N21" s="75"/>
      <c r="O21" s="71"/>
      <c r="P21" s="56"/>
      <c r="Q21" s="71"/>
      <c r="R21" s="56"/>
      <c r="S21" s="56"/>
      <c r="T21" s="259"/>
      <c r="U21" s="75"/>
      <c r="V21" s="171"/>
      <c r="W21" s="71"/>
      <c r="X21" s="53"/>
      <c r="Y21" s="56"/>
      <c r="Z21" s="75"/>
      <c r="AA21" s="71"/>
      <c r="AB21" s="53"/>
      <c r="AC21" s="70"/>
      <c r="AD21" s="70"/>
      <c r="AE21" s="61"/>
      <c r="AF21" s="70"/>
      <c r="AG21" s="56"/>
      <c r="AH21" s="53"/>
      <c r="AI21" s="53"/>
    </row>
    <row r="22" spans="3:37" ht="15" customHeight="1">
      <c r="C22" s="53"/>
      <c r="D22" s="53"/>
      <c r="E22" s="77"/>
      <c r="F22" s="68"/>
      <c r="G22" s="74"/>
      <c r="H22" s="166"/>
      <c r="I22" s="71"/>
      <c r="J22" s="75"/>
      <c r="K22" s="71"/>
      <c r="L22" s="56"/>
      <c r="M22" s="56"/>
      <c r="N22" s="75"/>
      <c r="O22" s="71"/>
      <c r="P22" s="56"/>
      <c r="Q22" s="71"/>
      <c r="R22" s="56"/>
      <c r="S22" s="56"/>
      <c r="T22" s="259"/>
      <c r="U22" s="75"/>
      <c r="V22" s="171"/>
      <c r="W22" s="71"/>
      <c r="X22" s="53"/>
      <c r="Y22" s="56"/>
      <c r="Z22" s="75"/>
      <c r="AA22" s="71"/>
      <c r="AB22" s="53"/>
      <c r="AC22" s="70"/>
      <c r="AD22" s="70"/>
      <c r="AE22" s="61"/>
      <c r="AF22" s="70"/>
      <c r="AG22" s="56"/>
      <c r="AH22" s="53"/>
      <c r="AI22" s="53"/>
      <c r="AK22" s="112"/>
    </row>
    <row r="23" spans="3:37" ht="15" customHeight="1">
      <c r="C23" s="53"/>
      <c r="D23" s="53"/>
      <c r="E23" s="77"/>
      <c r="F23" s="68"/>
      <c r="G23" s="74"/>
      <c r="H23" s="166"/>
      <c r="I23" s="71"/>
      <c r="J23" s="75"/>
      <c r="K23" s="71"/>
      <c r="L23" s="56"/>
      <c r="M23" s="56"/>
      <c r="N23" s="75"/>
      <c r="O23" s="71"/>
      <c r="P23" s="56"/>
      <c r="Q23" s="71"/>
      <c r="R23" s="56"/>
      <c r="S23" s="56"/>
      <c r="T23" s="259"/>
      <c r="U23" s="75"/>
      <c r="V23" s="171"/>
      <c r="W23" s="71"/>
      <c r="X23" s="53"/>
      <c r="Y23" s="56"/>
      <c r="Z23" s="75"/>
      <c r="AA23" s="71"/>
      <c r="AB23" s="53"/>
      <c r="AC23" s="70"/>
      <c r="AD23" s="70"/>
      <c r="AE23" s="61"/>
      <c r="AF23" s="70"/>
      <c r="AG23" s="56"/>
      <c r="AH23" s="53"/>
      <c r="AI23" s="53"/>
      <c r="AK23" s="112"/>
    </row>
    <row r="24" spans="3:37" ht="15" customHeight="1">
      <c r="C24" s="53"/>
      <c r="D24" s="53"/>
      <c r="E24" s="77"/>
      <c r="F24" s="68"/>
      <c r="G24" s="74"/>
      <c r="H24" s="166"/>
      <c r="I24" s="71"/>
      <c r="J24" s="75"/>
      <c r="K24" s="71"/>
      <c r="L24" s="56"/>
      <c r="M24" s="56"/>
      <c r="N24" s="75"/>
      <c r="O24" s="71"/>
      <c r="P24" s="56"/>
      <c r="Q24" s="71"/>
      <c r="R24" s="56"/>
      <c r="S24" s="56"/>
      <c r="T24" s="259"/>
      <c r="U24" s="75"/>
      <c r="V24" s="171"/>
      <c r="W24" s="71"/>
      <c r="X24" s="53"/>
      <c r="Y24" s="56"/>
      <c r="Z24" s="75"/>
      <c r="AA24" s="71"/>
      <c r="AB24" s="53"/>
      <c r="AC24" s="70"/>
      <c r="AD24" s="70"/>
      <c r="AE24" s="61"/>
      <c r="AF24" s="70"/>
      <c r="AG24" s="56"/>
      <c r="AH24" s="53"/>
      <c r="AI24" s="53"/>
      <c r="AK24" s="112"/>
    </row>
    <row r="25" spans="3:37" ht="15" customHeight="1">
      <c r="C25" s="53"/>
      <c r="D25" s="53"/>
      <c r="E25" s="53"/>
      <c r="F25" s="68"/>
      <c r="G25" s="74"/>
      <c r="H25" s="166"/>
      <c r="I25" s="71"/>
      <c r="J25" s="75"/>
      <c r="K25" s="71"/>
      <c r="L25" s="56"/>
      <c r="M25" s="56"/>
      <c r="N25" s="75"/>
      <c r="O25" s="71"/>
      <c r="P25" s="56"/>
      <c r="Q25" s="71"/>
      <c r="R25" s="56"/>
      <c r="S25" s="56"/>
      <c r="T25" s="259"/>
      <c r="U25" s="75"/>
      <c r="V25" s="171"/>
      <c r="W25" s="71"/>
      <c r="X25" s="53"/>
      <c r="Y25" s="56"/>
      <c r="Z25" s="75"/>
      <c r="AA25" s="71"/>
      <c r="AB25" s="53"/>
      <c r="AC25" s="70"/>
      <c r="AD25" s="70"/>
      <c r="AE25" s="61"/>
      <c r="AF25" s="70"/>
      <c r="AG25" s="56"/>
      <c r="AH25" s="53"/>
      <c r="AI25" s="53"/>
      <c r="AK25" s="112"/>
    </row>
    <row r="26" spans="3:37" ht="15" customHeight="1">
      <c r="C26" s="53"/>
      <c r="D26" s="53"/>
      <c r="E26" s="53"/>
      <c r="F26" s="68" t="s">
        <v>227</v>
      </c>
      <c r="G26" s="62">
        <f>SUM(G7:G25)</f>
        <v>593.54999999999995</v>
      </c>
      <c r="H26" s="166"/>
      <c r="I26" s="71"/>
      <c r="J26" s="75"/>
      <c r="K26" s="71"/>
      <c r="L26" s="56"/>
      <c r="M26" s="56"/>
      <c r="N26" s="75"/>
      <c r="O26" s="71"/>
      <c r="P26" s="56"/>
      <c r="Q26" s="71"/>
      <c r="R26" s="56"/>
      <c r="S26" s="56"/>
      <c r="T26" s="259"/>
      <c r="U26" s="75"/>
      <c r="V26" s="171"/>
      <c r="W26" s="71"/>
      <c r="X26" s="53"/>
      <c r="Y26" s="56"/>
      <c r="Z26" s="75"/>
      <c r="AA26" s="71"/>
      <c r="AB26" s="53"/>
      <c r="AC26" s="70"/>
      <c r="AD26" s="70"/>
      <c r="AE26" s="61"/>
      <c r="AF26" s="70"/>
      <c r="AG26" s="56"/>
      <c r="AH26" s="53"/>
      <c r="AI26" s="53"/>
      <c r="AK26" s="112"/>
    </row>
    <row r="27" spans="3:37" ht="15" customHeight="1">
      <c r="C27" s="53"/>
      <c r="D27" s="53"/>
      <c r="E27" s="53"/>
      <c r="F27" s="68" t="s">
        <v>16</v>
      </c>
      <c r="G27" s="62">
        <v>0</v>
      </c>
      <c r="H27" s="166"/>
      <c r="I27" s="71"/>
      <c r="J27" s="75"/>
      <c r="K27" s="71"/>
      <c r="L27" s="56"/>
      <c r="M27" s="56"/>
      <c r="N27" s="75"/>
      <c r="O27" s="71"/>
      <c r="P27" s="56"/>
      <c r="Q27" s="71"/>
      <c r="R27" s="56"/>
      <c r="S27" s="56"/>
      <c r="T27" s="259"/>
      <c r="U27" s="75"/>
      <c r="V27" s="171"/>
      <c r="W27" s="71"/>
      <c r="X27" s="53"/>
      <c r="Y27" s="56"/>
      <c r="Z27" s="75"/>
      <c r="AA27" s="71"/>
      <c r="AB27" s="53"/>
      <c r="AC27" s="70"/>
      <c r="AD27" s="70"/>
      <c r="AE27" s="61"/>
      <c r="AF27" s="70"/>
      <c r="AG27" s="56"/>
      <c r="AH27" s="53"/>
      <c r="AI27" s="53"/>
      <c r="AK27" s="112"/>
    </row>
    <row r="28" spans="3:37" ht="15" customHeight="1">
      <c r="C28" s="53"/>
      <c r="D28" s="53"/>
      <c r="E28" s="53"/>
      <c r="F28" s="68" t="s">
        <v>373</v>
      </c>
      <c r="G28" s="62">
        <v>0</v>
      </c>
      <c r="H28" s="166"/>
      <c r="I28" s="71"/>
      <c r="J28" s="75"/>
      <c r="K28" s="71"/>
      <c r="L28" s="56"/>
      <c r="M28" s="56"/>
      <c r="N28" s="75"/>
      <c r="O28" s="71"/>
      <c r="P28" s="56"/>
      <c r="Q28" s="71"/>
      <c r="R28" s="56"/>
      <c r="S28" s="56"/>
      <c r="T28" s="259"/>
      <c r="U28" s="75"/>
      <c r="V28" s="171"/>
      <c r="W28" s="71"/>
      <c r="X28" s="53"/>
      <c r="Y28" s="56"/>
      <c r="Z28" s="75"/>
      <c r="AA28" s="71"/>
      <c r="AB28" s="53"/>
      <c r="AC28" s="70"/>
      <c r="AD28" s="70"/>
      <c r="AE28" s="61"/>
      <c r="AF28" s="70"/>
      <c r="AG28" s="56"/>
      <c r="AH28" s="53"/>
      <c r="AI28" s="53"/>
    </row>
    <row r="29" spans="3:37" ht="15" customHeight="1">
      <c r="C29" s="53"/>
      <c r="D29" s="53"/>
      <c r="E29" s="53"/>
      <c r="F29" s="68"/>
      <c r="G29" s="62"/>
      <c r="H29" s="166"/>
      <c r="I29" s="71"/>
      <c r="J29" s="75"/>
      <c r="K29" s="71"/>
      <c r="L29" s="56"/>
      <c r="M29" s="56"/>
      <c r="N29" s="75"/>
      <c r="O29" s="71"/>
      <c r="P29" s="56"/>
      <c r="Q29" s="71"/>
      <c r="R29" s="56"/>
      <c r="S29" s="56"/>
      <c r="T29" s="259"/>
      <c r="U29" s="75"/>
      <c r="V29" s="171"/>
      <c r="W29" s="71"/>
      <c r="X29" s="53"/>
      <c r="Y29" s="56"/>
      <c r="Z29" s="75"/>
      <c r="AA29" s="71"/>
      <c r="AB29" s="53"/>
      <c r="AC29" s="70"/>
      <c r="AD29" s="70"/>
      <c r="AE29" s="61"/>
      <c r="AF29" s="70"/>
      <c r="AG29" s="56"/>
      <c r="AH29" s="53"/>
      <c r="AI29" s="53"/>
    </row>
    <row r="30" spans="3:37" ht="15" customHeight="1">
      <c r="C30" s="53"/>
      <c r="D30" s="53"/>
      <c r="E30" s="53"/>
      <c r="F30" s="122" t="s">
        <v>229</v>
      </c>
      <c r="G30" s="164">
        <f>G26-G27-G28-G29</f>
        <v>593.54999999999995</v>
      </c>
      <c r="H30" s="684">
        <f>SUM(I7:I29)</f>
        <v>195</v>
      </c>
      <c r="I30" s="481"/>
      <c r="J30" s="671">
        <f>SUM(K7:K29)</f>
        <v>50</v>
      </c>
      <c r="K30" s="672"/>
      <c r="L30" s="480">
        <f>SUM(M7:M29)</f>
        <v>4.5</v>
      </c>
      <c r="M30" s="480"/>
      <c r="N30" s="482">
        <f>SUM(O7:O29)</f>
        <v>26.9</v>
      </c>
      <c r="O30" s="481"/>
      <c r="P30" s="482">
        <f>SUM(Q7:Q29)</f>
        <v>64.31</v>
      </c>
      <c r="Q30" s="481"/>
      <c r="R30" s="471">
        <f>SUM(S7:S29)</f>
        <v>21.9</v>
      </c>
      <c r="S30" s="471"/>
      <c r="T30" s="302">
        <f>SUM(T7:T29)</f>
        <v>0</v>
      </c>
      <c r="U30" s="275">
        <f>SUM(U7:U29)</f>
        <v>132.1</v>
      </c>
      <c r="V30" s="472">
        <f>SUM(W7:W29)</f>
        <v>7.99</v>
      </c>
      <c r="W30" s="473"/>
      <c r="X30" s="474">
        <f>SUM(Y7:Y29)</f>
        <v>41.09</v>
      </c>
      <c r="Y30" s="474"/>
      <c r="Z30" s="475">
        <f>SUM(AA7:AA29)</f>
        <v>17.100000000000001</v>
      </c>
      <c r="AA30" s="473"/>
      <c r="AB30" s="474">
        <f>SUM(AC7:AC29)</f>
        <v>29.05</v>
      </c>
      <c r="AC30" s="474"/>
      <c r="AD30" s="299">
        <f>SUM(AD7:AD29)</f>
        <v>0</v>
      </c>
      <c r="AE30" s="476">
        <f>SUM(AF7:AF29)</f>
        <v>0</v>
      </c>
      <c r="AF30" s="477"/>
      <c r="AG30" s="56"/>
      <c r="AH30" s="53"/>
      <c r="AI30" s="53"/>
    </row>
    <row r="31" spans="3:37" ht="15" customHeight="1" thickBot="1">
      <c r="C31" s="53"/>
      <c r="D31" s="53"/>
      <c r="E31" s="53"/>
      <c r="F31" s="124" t="s">
        <v>230</v>
      </c>
      <c r="G31" s="165">
        <f>G30-H32</f>
        <v>3.6100000000000136</v>
      </c>
      <c r="H31" s="682">
        <f>SUM(H30:U30)</f>
        <v>494.70999999999992</v>
      </c>
      <c r="I31" s="682"/>
      <c r="J31" s="682"/>
      <c r="K31" s="682"/>
      <c r="L31" s="682"/>
      <c r="M31" s="682"/>
      <c r="N31" s="682"/>
      <c r="O31" s="682"/>
      <c r="P31" s="682"/>
      <c r="Q31" s="682"/>
      <c r="R31" s="682"/>
      <c r="S31" s="682"/>
      <c r="T31" s="682"/>
      <c r="U31" s="682"/>
      <c r="V31" s="685">
        <f>SUM(V30:AF30)</f>
        <v>95.23</v>
      </c>
      <c r="W31" s="686"/>
      <c r="X31" s="686"/>
      <c r="Y31" s="686"/>
      <c r="Z31" s="686"/>
      <c r="AA31" s="686"/>
      <c r="AB31" s="686"/>
      <c r="AC31" s="686"/>
      <c r="AD31" s="686"/>
      <c r="AE31" s="686"/>
      <c r="AF31" s="687"/>
      <c r="AG31" s="56"/>
      <c r="AH31" s="53"/>
      <c r="AI31" s="56"/>
    </row>
    <row r="32" spans="3:37" ht="24" customHeight="1" thickBot="1">
      <c r="C32" s="53"/>
      <c r="D32" s="53"/>
      <c r="E32" s="53"/>
      <c r="F32" s="56"/>
      <c r="G32" s="62"/>
      <c r="H32" s="678">
        <f>SUM(H31:AF31)</f>
        <v>589.93999999999994</v>
      </c>
      <c r="I32" s="679"/>
      <c r="J32" s="679"/>
      <c r="K32" s="679"/>
      <c r="L32" s="679"/>
      <c r="M32" s="679"/>
      <c r="N32" s="679"/>
      <c r="O32" s="679"/>
      <c r="P32" s="679"/>
      <c r="Q32" s="679"/>
      <c r="R32" s="679"/>
      <c r="S32" s="679"/>
      <c r="T32" s="679"/>
      <c r="U32" s="679"/>
      <c r="V32" s="679"/>
      <c r="W32" s="679"/>
      <c r="X32" s="679"/>
      <c r="Y32" s="679"/>
      <c r="Z32" s="679"/>
      <c r="AA32" s="679"/>
      <c r="AB32" s="679"/>
      <c r="AC32" s="679"/>
      <c r="AD32" s="679"/>
      <c r="AE32" s="679"/>
      <c r="AF32" s="680"/>
      <c r="AG32" s="56"/>
      <c r="AH32" s="53"/>
    </row>
    <row r="33" spans="3:37" ht="15" customHeight="1">
      <c r="C33" s="53"/>
      <c r="D33" s="53"/>
      <c r="E33" s="53"/>
      <c r="F33" s="53"/>
      <c r="G33" s="74"/>
      <c r="H33" s="683"/>
      <c r="I33" s="683"/>
      <c r="J33" s="451"/>
      <c r="K33" s="451"/>
      <c r="L33" s="451"/>
      <c r="M33" s="451"/>
      <c r="N33" s="451"/>
      <c r="O33" s="451"/>
      <c r="P33" s="451"/>
      <c r="Q33" s="451"/>
      <c r="R33" s="683"/>
      <c r="S33" s="683"/>
      <c r="T33" s="451"/>
      <c r="U33" s="274"/>
      <c r="V33" s="683"/>
      <c r="W33" s="683"/>
      <c r="X33" s="681"/>
      <c r="Y33" s="681"/>
      <c r="Z33" s="681"/>
      <c r="AA33" s="681"/>
      <c r="AB33" s="681"/>
      <c r="AC33" s="681"/>
      <c r="AD33" s="450"/>
      <c r="AE33" s="450"/>
      <c r="AF33" s="450"/>
      <c r="AG33" s="56"/>
      <c r="AH33" s="53"/>
    </row>
    <row r="34" spans="3:37" ht="15" customHeight="1"/>
    <row r="35" spans="3:37" ht="15.95">
      <c r="C35" s="53"/>
      <c r="D35" s="53"/>
      <c r="E35" s="53"/>
      <c r="F35" s="53"/>
      <c r="G35" s="62"/>
      <c r="H35" s="688"/>
      <c r="I35" s="688"/>
      <c r="J35" s="688"/>
      <c r="K35" s="688"/>
      <c r="L35" s="688"/>
      <c r="M35" s="688"/>
      <c r="N35" s="451"/>
      <c r="O35" s="688"/>
      <c r="P35" s="688"/>
      <c r="Q35" s="688"/>
      <c r="R35" s="688"/>
      <c r="S35" s="688"/>
      <c r="T35" s="688"/>
      <c r="U35" s="688"/>
      <c r="V35" s="688"/>
      <c r="W35" s="53"/>
      <c r="X35" s="53"/>
      <c r="Z35" s="112"/>
    </row>
    <row r="36" spans="3:37" ht="15.95">
      <c r="C36" s="53"/>
      <c r="D36" s="53"/>
      <c r="E36" s="53"/>
      <c r="F36" s="56"/>
      <c r="G36" s="62"/>
      <c r="H36" s="688"/>
      <c r="I36" s="688"/>
      <c r="J36" s="688"/>
      <c r="K36" s="688"/>
      <c r="L36" s="688"/>
      <c r="M36" s="688"/>
      <c r="N36" s="688"/>
      <c r="O36" s="688"/>
      <c r="P36" s="688"/>
      <c r="Q36" s="688"/>
      <c r="R36" s="688"/>
      <c r="S36" s="688"/>
      <c r="T36" s="688"/>
      <c r="U36" s="688"/>
      <c r="V36" s="688"/>
      <c r="W36" s="53"/>
      <c r="X36" s="53"/>
      <c r="Z36" s="112"/>
    </row>
    <row r="37" spans="3:37" ht="24.95" customHeight="1">
      <c r="C37" s="53"/>
      <c r="D37" s="53"/>
      <c r="E37" s="53"/>
      <c r="F37" s="53"/>
      <c r="G37" s="74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56"/>
      <c r="X37" s="53"/>
      <c r="Z37" s="112"/>
    </row>
    <row r="38" spans="3:37" ht="15.95">
      <c r="C38" s="53"/>
      <c r="D38" s="53"/>
      <c r="E38" s="53"/>
      <c r="F38" s="53"/>
      <c r="G38" s="450"/>
      <c r="H38" s="683"/>
      <c r="I38" s="683"/>
      <c r="J38" s="451"/>
      <c r="K38" s="451"/>
      <c r="L38" s="683"/>
      <c r="M38" s="683"/>
      <c r="N38" s="274"/>
      <c r="O38" s="683"/>
      <c r="P38" s="683"/>
      <c r="Q38" s="681"/>
      <c r="R38" s="681"/>
      <c r="S38" s="681"/>
      <c r="T38" s="681"/>
      <c r="U38" s="681"/>
      <c r="V38" s="681"/>
      <c r="W38" s="53"/>
      <c r="X38" s="53"/>
    </row>
    <row r="39" spans="3:37" ht="15.95"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6"/>
      <c r="P39" s="53"/>
      <c r="Q39" s="53"/>
      <c r="R39" s="53"/>
      <c r="S39" s="53"/>
      <c r="T39" s="53"/>
      <c r="U39" s="53"/>
      <c r="V39" s="53"/>
      <c r="W39" s="53"/>
      <c r="X39" s="53"/>
    </row>
    <row r="40" spans="3:37" ht="15" customHeight="1">
      <c r="C40" s="53"/>
      <c r="D40" s="53"/>
      <c r="E40" s="53"/>
      <c r="X40" s="53"/>
    </row>
    <row r="41" spans="3:37" ht="15.95">
      <c r="C41" s="53"/>
      <c r="D41" s="53"/>
      <c r="E41" s="53"/>
      <c r="X41" s="56"/>
    </row>
    <row r="44" spans="3:37" ht="15.75" customHeight="1">
      <c r="C44" s="691"/>
      <c r="D44" s="691"/>
      <c r="E44" s="456"/>
      <c r="F44" s="694"/>
      <c r="G44" s="694"/>
      <c r="H44" s="694"/>
      <c r="I44" s="694"/>
      <c r="J44" s="694"/>
      <c r="K44" s="694"/>
      <c r="L44" s="694"/>
      <c r="M44" s="694"/>
      <c r="N44" s="694"/>
      <c r="O44" s="694"/>
      <c r="P44" s="694"/>
      <c r="Q44" s="694"/>
      <c r="R44" s="694"/>
      <c r="S44" s="694"/>
      <c r="T44" s="694"/>
      <c r="U44" s="694"/>
      <c r="V44" s="694"/>
      <c r="W44" s="694"/>
      <c r="X44" s="694"/>
      <c r="Y44" s="694"/>
      <c r="Z44" s="694"/>
      <c r="AA44" s="694"/>
      <c r="AB44" s="694"/>
      <c r="AC44" s="694"/>
      <c r="AD44" s="694"/>
      <c r="AE44" s="694"/>
      <c r="AF44" s="694"/>
      <c r="AG44" s="459"/>
      <c r="AH44" s="53"/>
      <c r="AI44" s="695"/>
      <c r="AJ44" s="695"/>
      <c r="AK44" s="695"/>
    </row>
    <row r="45" spans="3:37" ht="15.75" customHeight="1">
      <c r="C45" s="304"/>
      <c r="D45" s="56"/>
      <c r="E45" s="458"/>
      <c r="F45" s="692"/>
      <c r="G45" s="692"/>
      <c r="H45" s="693"/>
      <c r="I45" s="693"/>
      <c r="J45" s="693"/>
      <c r="K45" s="693"/>
      <c r="L45" s="693"/>
      <c r="M45" s="693"/>
      <c r="N45" s="693"/>
      <c r="O45" s="693"/>
      <c r="P45" s="693"/>
      <c r="Q45" s="693"/>
      <c r="R45" s="693"/>
      <c r="S45" s="693"/>
      <c r="T45" s="458"/>
      <c r="U45" s="458"/>
      <c r="V45" s="693"/>
      <c r="W45" s="693"/>
      <c r="X45" s="693"/>
      <c r="Y45" s="693"/>
      <c r="Z45" s="693"/>
      <c r="AA45" s="693"/>
      <c r="AB45" s="693"/>
      <c r="AC45" s="693"/>
      <c r="AD45" s="458"/>
      <c r="AE45" s="693"/>
      <c r="AF45" s="693"/>
      <c r="AG45" s="458"/>
      <c r="AH45" s="53"/>
      <c r="AI45" s="304"/>
      <c r="AJ45" s="53"/>
    </row>
    <row r="46" spans="3:37" ht="15.75" customHeight="1">
      <c r="C46" s="304"/>
      <c r="D46" s="56"/>
      <c r="E46" s="56"/>
      <c r="F46" s="457"/>
      <c r="G46" s="457"/>
      <c r="H46" s="460"/>
      <c r="I46" s="460"/>
      <c r="J46" s="460"/>
      <c r="K46" s="460"/>
      <c r="L46" s="460"/>
      <c r="M46" s="460"/>
      <c r="N46" s="460"/>
      <c r="O46" s="460"/>
      <c r="P46" s="460"/>
      <c r="Q46" s="460"/>
      <c r="R46" s="460"/>
      <c r="S46" s="460"/>
      <c r="T46" s="460"/>
      <c r="U46" s="460"/>
      <c r="V46" s="460"/>
      <c r="W46" s="460"/>
      <c r="X46" s="460"/>
      <c r="Y46" s="460"/>
      <c r="Z46" s="460"/>
      <c r="AA46" s="460"/>
      <c r="AB46" s="460"/>
      <c r="AC46" s="460"/>
      <c r="AD46" s="460"/>
      <c r="AE46" s="460"/>
      <c r="AF46" s="460"/>
      <c r="AG46" s="460"/>
      <c r="AH46" s="53"/>
      <c r="AI46" s="304"/>
      <c r="AJ46" s="53"/>
    </row>
    <row r="47" spans="3:37" ht="15.75" customHeight="1">
      <c r="C47" s="304"/>
      <c r="D47" s="56"/>
      <c r="E47" s="56"/>
      <c r="F47" s="56"/>
      <c r="G47" s="62"/>
      <c r="H47" s="53"/>
      <c r="I47" s="56"/>
      <c r="J47" s="53"/>
      <c r="K47" s="56"/>
      <c r="L47" s="53"/>
      <c r="M47" s="56"/>
      <c r="N47" s="53"/>
      <c r="O47" s="56"/>
      <c r="P47" s="53"/>
      <c r="Q47" s="56"/>
      <c r="R47" s="56"/>
      <c r="S47" s="56"/>
      <c r="T47" s="56"/>
      <c r="U47" s="56"/>
      <c r="V47" s="56"/>
      <c r="W47" s="56"/>
      <c r="X47" s="53"/>
      <c r="Y47" s="53"/>
      <c r="Z47" s="53"/>
      <c r="AA47" s="56"/>
      <c r="AB47" s="53"/>
      <c r="AC47" s="56"/>
      <c r="AD47" s="56"/>
      <c r="AE47" s="56"/>
      <c r="AF47" s="56"/>
      <c r="AG47" s="56"/>
      <c r="AH47" s="53"/>
      <c r="AI47" s="304"/>
      <c r="AJ47" s="53"/>
    </row>
    <row r="48" spans="3:37" ht="15.75" customHeight="1">
      <c r="C48" s="304"/>
      <c r="D48" s="56"/>
      <c r="E48" s="56"/>
      <c r="F48" s="56"/>
      <c r="G48" s="62"/>
      <c r="H48" s="53"/>
      <c r="I48" s="56"/>
      <c r="J48" s="56"/>
      <c r="K48" s="56"/>
      <c r="L48" s="53"/>
      <c r="M48" s="56"/>
      <c r="O48" s="56"/>
      <c r="P48" s="56"/>
      <c r="Q48" s="56"/>
      <c r="R48" s="56"/>
      <c r="S48" s="56"/>
      <c r="T48" s="56"/>
      <c r="U48" s="56"/>
      <c r="V48" s="56"/>
      <c r="W48" s="56"/>
      <c r="X48" s="53"/>
      <c r="Y48" s="56"/>
      <c r="Z48" s="56"/>
      <c r="AA48" s="56"/>
      <c r="AB48" s="53"/>
      <c r="AC48" s="56"/>
      <c r="AD48" s="56"/>
      <c r="AE48" s="56"/>
      <c r="AF48" s="56"/>
      <c r="AG48" s="56"/>
      <c r="AH48" s="53"/>
      <c r="AI48" s="304"/>
      <c r="AJ48" s="53"/>
    </row>
    <row r="49" spans="3:37" ht="15.75" customHeight="1">
      <c r="C49" s="53"/>
      <c r="D49" s="77"/>
      <c r="E49" s="56"/>
      <c r="F49" s="56"/>
      <c r="G49" s="62"/>
      <c r="H49" s="53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3"/>
      <c r="Y49" s="56"/>
      <c r="Z49" s="56"/>
      <c r="AA49" s="56"/>
      <c r="AB49" s="56"/>
      <c r="AC49" s="56"/>
      <c r="AD49" s="56"/>
      <c r="AE49" s="56"/>
      <c r="AF49" s="56"/>
      <c r="AG49" s="56"/>
      <c r="AH49" s="53"/>
      <c r="AI49" s="304"/>
      <c r="AJ49" s="53"/>
    </row>
    <row r="50" spans="3:37" ht="15.75" customHeight="1">
      <c r="C50" s="53"/>
      <c r="D50" s="56"/>
      <c r="E50" s="56"/>
      <c r="F50" s="56"/>
      <c r="G50" s="62"/>
      <c r="H50" s="53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3"/>
      <c r="Y50" s="56"/>
      <c r="Z50" s="56"/>
      <c r="AA50" s="56"/>
      <c r="AB50" s="56"/>
      <c r="AC50" s="56"/>
      <c r="AD50" s="56"/>
      <c r="AE50" s="56"/>
      <c r="AF50" s="56"/>
      <c r="AG50" s="56"/>
      <c r="AH50" s="53"/>
      <c r="AI50" s="304"/>
    </row>
    <row r="51" spans="3:37" ht="15.75" customHeight="1">
      <c r="C51" s="53"/>
      <c r="D51" s="53"/>
      <c r="E51" s="56"/>
      <c r="F51" s="56"/>
      <c r="G51" s="62"/>
      <c r="H51" s="53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3"/>
      <c r="Y51" s="56"/>
      <c r="Z51" s="56"/>
      <c r="AA51" s="56"/>
      <c r="AB51" s="56"/>
      <c r="AC51" s="56"/>
      <c r="AD51" s="56"/>
      <c r="AE51" s="56"/>
      <c r="AF51" s="56"/>
      <c r="AG51" s="56"/>
      <c r="AH51" s="53"/>
      <c r="AI51" s="304"/>
    </row>
    <row r="52" spans="3:37" ht="15.75" customHeight="1">
      <c r="C52" s="53"/>
      <c r="D52" s="53"/>
      <c r="E52" s="458"/>
      <c r="F52" s="56"/>
      <c r="G52" s="62"/>
      <c r="H52" s="53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3"/>
      <c r="Y52" s="56"/>
      <c r="Z52" s="56"/>
      <c r="AA52" s="56"/>
      <c r="AB52" s="56"/>
      <c r="AC52" s="56"/>
      <c r="AD52" s="56"/>
      <c r="AE52" s="56"/>
      <c r="AF52" s="56"/>
      <c r="AG52" s="56"/>
      <c r="AH52" s="53"/>
      <c r="AI52" s="304"/>
    </row>
    <row r="53" spans="3:37" ht="15.75" customHeight="1">
      <c r="C53" s="53"/>
      <c r="D53" s="53"/>
      <c r="E53" s="77"/>
      <c r="F53" s="56"/>
      <c r="G53" s="76"/>
      <c r="H53" s="53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3"/>
      <c r="Y53" s="56"/>
      <c r="Z53" s="56"/>
      <c r="AA53" s="56"/>
      <c r="AB53" s="53"/>
      <c r="AC53" s="56"/>
      <c r="AD53" s="56"/>
      <c r="AE53" s="56"/>
      <c r="AF53" s="56"/>
      <c r="AG53" s="56"/>
      <c r="AH53" s="53"/>
      <c r="AI53" s="304"/>
      <c r="AJ53" s="53"/>
    </row>
    <row r="54" spans="3:37" ht="15.75" customHeight="1">
      <c r="C54" s="53"/>
      <c r="D54" s="53"/>
      <c r="E54" s="77"/>
      <c r="F54" s="77"/>
      <c r="G54" s="76"/>
      <c r="H54" s="53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3"/>
      <c r="Y54" s="56"/>
      <c r="Z54" s="56"/>
      <c r="AA54" s="56"/>
      <c r="AB54" s="53"/>
      <c r="AC54" s="56"/>
      <c r="AD54" s="56"/>
      <c r="AE54" s="56"/>
      <c r="AF54" s="56"/>
      <c r="AG54" s="56"/>
      <c r="AH54" s="53"/>
      <c r="AI54" s="304"/>
    </row>
    <row r="55" spans="3:37" ht="15.75" customHeight="1">
      <c r="C55" s="53"/>
      <c r="D55" s="53"/>
      <c r="E55" s="77"/>
      <c r="F55" s="77"/>
      <c r="G55" s="76"/>
      <c r="H55" s="53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3"/>
      <c r="Y55" s="56"/>
      <c r="Z55" s="56"/>
      <c r="AA55" s="56"/>
      <c r="AB55" s="53"/>
      <c r="AC55" s="56"/>
      <c r="AD55" s="56"/>
      <c r="AE55" s="56"/>
      <c r="AF55" s="56"/>
      <c r="AG55" s="56"/>
      <c r="AH55" s="53"/>
      <c r="AI55" s="304"/>
    </row>
    <row r="56" spans="3:37" ht="15.75" customHeight="1">
      <c r="C56" s="53"/>
      <c r="D56" s="53"/>
      <c r="E56" s="77"/>
      <c r="F56" s="56"/>
      <c r="G56" s="62"/>
      <c r="H56" s="53"/>
      <c r="I56" s="56"/>
      <c r="J56" s="56"/>
      <c r="K56" s="56"/>
      <c r="L56" s="56"/>
      <c r="M56" s="56"/>
      <c r="N56" s="56"/>
      <c r="O56" s="56"/>
      <c r="P56" s="53"/>
      <c r="Q56" s="56"/>
      <c r="R56" s="56"/>
      <c r="S56" s="56"/>
      <c r="T56" s="56"/>
      <c r="U56" s="56"/>
      <c r="V56" s="56"/>
      <c r="W56" s="56"/>
      <c r="X56" s="53"/>
      <c r="Y56" s="56"/>
      <c r="Z56" s="56"/>
      <c r="AA56" s="56"/>
      <c r="AB56" s="53"/>
      <c r="AC56" s="56"/>
      <c r="AD56" s="56"/>
      <c r="AE56" s="56"/>
      <c r="AF56" s="56"/>
      <c r="AG56" s="56"/>
      <c r="AH56" s="53"/>
      <c r="AI56" s="304"/>
      <c r="AJ56" s="53"/>
    </row>
    <row r="57" spans="3:37" ht="15.75" customHeight="1">
      <c r="C57" s="53"/>
      <c r="D57" s="56"/>
      <c r="E57" s="56"/>
      <c r="F57" s="458"/>
      <c r="G57" s="80"/>
      <c r="H57" s="53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3"/>
      <c r="Y57" s="56"/>
      <c r="Z57" s="56"/>
      <c r="AA57" s="56"/>
      <c r="AB57" s="53"/>
      <c r="AC57" s="56"/>
      <c r="AD57" s="56"/>
      <c r="AE57" s="56"/>
      <c r="AF57" s="56"/>
      <c r="AG57" s="56"/>
      <c r="AH57" s="53"/>
      <c r="AI57" s="304"/>
    </row>
    <row r="58" spans="3:37" ht="15.75" customHeight="1">
      <c r="C58" s="53"/>
      <c r="D58" s="56"/>
      <c r="E58" s="458"/>
      <c r="F58" s="77"/>
      <c r="G58" s="76"/>
      <c r="H58" s="53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3"/>
      <c r="Y58" s="56"/>
      <c r="Z58" s="56"/>
      <c r="AA58" s="56"/>
      <c r="AB58" s="53"/>
      <c r="AC58" s="76"/>
      <c r="AD58" s="76"/>
      <c r="AE58" s="76"/>
      <c r="AF58" s="76"/>
      <c r="AG58" s="76"/>
      <c r="AH58" s="53"/>
      <c r="AI58" s="304"/>
    </row>
    <row r="59" spans="3:37" ht="15.75" customHeight="1">
      <c r="C59" s="53"/>
      <c r="D59" s="53"/>
      <c r="E59" s="77"/>
      <c r="F59" s="77"/>
      <c r="G59" s="76"/>
      <c r="H59" s="53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3"/>
      <c r="Y59" s="56"/>
      <c r="Z59" s="56"/>
      <c r="AA59" s="56"/>
      <c r="AB59" s="53"/>
      <c r="AC59" s="56"/>
      <c r="AD59" s="56"/>
      <c r="AE59" s="56"/>
      <c r="AF59" s="56"/>
      <c r="AG59" s="56"/>
      <c r="AH59" s="53"/>
      <c r="AI59" s="53"/>
    </row>
    <row r="60" spans="3:37" ht="15.75" customHeight="1">
      <c r="C60" s="53"/>
      <c r="D60" s="53"/>
      <c r="E60" s="77"/>
      <c r="F60" s="77"/>
      <c r="G60" s="76"/>
      <c r="H60" s="53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3"/>
      <c r="Y60" s="56"/>
      <c r="Z60" s="56"/>
      <c r="AA60" s="56"/>
      <c r="AB60" s="53"/>
      <c r="AC60" s="56"/>
      <c r="AD60" s="56"/>
      <c r="AE60" s="56"/>
      <c r="AF60" s="56"/>
      <c r="AG60" s="56"/>
      <c r="AH60" s="53"/>
      <c r="AI60" s="53"/>
    </row>
    <row r="61" spans="3:37" ht="15.75" customHeight="1">
      <c r="C61" s="53"/>
      <c r="D61" s="53"/>
      <c r="E61" s="77"/>
      <c r="F61" s="77"/>
      <c r="G61" s="76"/>
      <c r="H61" s="53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3"/>
      <c r="Y61" s="56"/>
      <c r="Z61" s="56"/>
      <c r="AA61" s="56"/>
      <c r="AB61" s="53"/>
      <c r="AC61" s="56"/>
      <c r="AD61" s="56"/>
      <c r="AE61" s="56"/>
      <c r="AF61" s="56"/>
      <c r="AG61" s="56"/>
      <c r="AH61" s="53"/>
      <c r="AI61" s="53"/>
    </row>
    <row r="62" spans="3:37" ht="15.75" customHeight="1">
      <c r="C62" s="53"/>
      <c r="D62" s="53"/>
      <c r="E62" s="77"/>
      <c r="F62" s="53"/>
      <c r="G62" s="74"/>
      <c r="H62" s="53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3"/>
      <c r="Y62" s="56"/>
      <c r="Z62" s="56"/>
      <c r="AA62" s="56"/>
      <c r="AB62" s="53"/>
      <c r="AC62" s="56"/>
      <c r="AD62" s="56"/>
      <c r="AE62" s="56"/>
      <c r="AF62" s="56"/>
      <c r="AG62" s="56"/>
      <c r="AH62" s="53"/>
      <c r="AI62" s="53"/>
      <c r="AK62" s="112"/>
    </row>
    <row r="63" spans="3:37" ht="15.75" customHeight="1">
      <c r="C63" s="53"/>
      <c r="D63" s="53"/>
      <c r="E63" s="77"/>
      <c r="F63" s="53"/>
      <c r="G63" s="74"/>
      <c r="H63" s="53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3"/>
      <c r="Y63" s="56"/>
      <c r="Z63" s="56"/>
      <c r="AA63" s="56"/>
      <c r="AB63" s="53"/>
      <c r="AC63" s="56"/>
      <c r="AD63" s="56"/>
      <c r="AE63" s="56"/>
      <c r="AF63" s="56"/>
      <c r="AG63" s="56"/>
      <c r="AH63" s="53"/>
      <c r="AI63" s="53"/>
      <c r="AK63" s="112"/>
    </row>
    <row r="64" spans="3:37" ht="15.75" customHeight="1">
      <c r="C64" s="53"/>
      <c r="D64" s="53"/>
      <c r="E64" s="77"/>
      <c r="F64" s="53"/>
      <c r="G64" s="74"/>
      <c r="H64" s="53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3"/>
      <c r="Y64" s="56"/>
      <c r="Z64" s="56"/>
      <c r="AA64" s="56"/>
      <c r="AB64" s="53"/>
      <c r="AC64" s="56"/>
      <c r="AD64" s="56"/>
      <c r="AE64" s="56"/>
      <c r="AF64" s="56"/>
      <c r="AG64" s="56"/>
      <c r="AH64" s="53"/>
      <c r="AI64" s="53"/>
      <c r="AK64" s="112"/>
    </row>
    <row r="65" spans="3:37" ht="15.75" customHeight="1">
      <c r="C65" s="53"/>
      <c r="D65" s="53"/>
      <c r="E65" s="53"/>
      <c r="F65" s="53"/>
      <c r="G65" s="74"/>
      <c r="H65" s="53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3"/>
      <c r="Y65" s="56"/>
      <c r="Z65" s="56"/>
      <c r="AA65" s="56"/>
      <c r="AB65" s="53"/>
      <c r="AC65" s="56"/>
      <c r="AD65" s="56"/>
      <c r="AE65" s="56"/>
      <c r="AF65" s="56"/>
      <c r="AG65" s="56"/>
      <c r="AH65" s="53"/>
      <c r="AI65" s="53"/>
      <c r="AK65" s="112"/>
    </row>
    <row r="66" spans="3:37" ht="15.75" customHeight="1">
      <c r="C66" s="53"/>
      <c r="D66" s="53"/>
      <c r="E66" s="53"/>
      <c r="F66" s="53"/>
      <c r="G66" s="62"/>
      <c r="H66" s="53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3"/>
      <c r="Y66" s="56"/>
      <c r="Z66" s="56"/>
      <c r="AA66" s="56"/>
      <c r="AB66" s="53"/>
      <c r="AC66" s="56"/>
      <c r="AD66" s="56"/>
      <c r="AE66" s="56"/>
      <c r="AF66" s="56"/>
      <c r="AG66" s="56"/>
      <c r="AH66" s="53"/>
      <c r="AI66" s="53"/>
      <c r="AK66" s="112"/>
    </row>
    <row r="67" spans="3:37" ht="15.75" customHeight="1">
      <c r="C67" s="53"/>
      <c r="D67" s="53"/>
      <c r="E67" s="53"/>
      <c r="F67" s="53"/>
      <c r="G67" s="62"/>
      <c r="H67" s="53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3"/>
      <c r="Y67" s="56"/>
      <c r="Z67" s="56"/>
      <c r="AA67" s="56"/>
      <c r="AB67" s="53"/>
      <c r="AC67" s="56"/>
      <c r="AD67" s="56"/>
      <c r="AE67" s="56"/>
      <c r="AF67" s="56"/>
      <c r="AG67" s="56"/>
      <c r="AH67" s="53"/>
      <c r="AI67" s="53"/>
      <c r="AK67" s="112"/>
    </row>
    <row r="68" spans="3:37" ht="15.75" customHeight="1">
      <c r="C68" s="53"/>
      <c r="D68" s="53"/>
      <c r="E68" s="53"/>
      <c r="F68" s="53"/>
      <c r="G68" s="62"/>
      <c r="H68" s="53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3"/>
      <c r="Y68" s="56"/>
      <c r="Z68" s="56"/>
      <c r="AA68" s="56"/>
      <c r="AB68" s="53"/>
      <c r="AC68" s="56"/>
      <c r="AD68" s="56"/>
      <c r="AE68" s="56"/>
      <c r="AF68" s="56"/>
      <c r="AG68" s="56"/>
      <c r="AH68" s="53"/>
      <c r="AI68" s="53"/>
    </row>
    <row r="69" spans="3:37" ht="15.75" customHeight="1">
      <c r="C69" s="53"/>
      <c r="D69" s="53"/>
      <c r="E69" s="53"/>
      <c r="F69" s="53"/>
      <c r="G69" s="62"/>
      <c r="H69" s="53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3"/>
      <c r="Y69" s="56"/>
      <c r="Z69" s="56"/>
      <c r="AA69" s="56"/>
      <c r="AB69" s="53"/>
      <c r="AC69" s="56"/>
      <c r="AD69" s="56"/>
      <c r="AE69" s="56"/>
      <c r="AF69" s="56"/>
      <c r="AG69" s="56"/>
      <c r="AH69" s="53"/>
      <c r="AI69" s="53"/>
    </row>
    <row r="70" spans="3:37" ht="15.75" customHeight="1">
      <c r="C70" s="53"/>
      <c r="D70" s="53"/>
      <c r="E70" s="53"/>
      <c r="F70" s="53"/>
      <c r="G70" s="62"/>
      <c r="H70" s="688"/>
      <c r="I70" s="688"/>
      <c r="J70" s="688"/>
      <c r="K70" s="688"/>
      <c r="L70" s="688"/>
      <c r="M70" s="688"/>
      <c r="N70" s="688"/>
      <c r="O70" s="688"/>
      <c r="P70" s="688"/>
      <c r="Q70" s="688"/>
      <c r="R70" s="688"/>
      <c r="S70" s="688"/>
      <c r="T70" s="453"/>
      <c r="U70" s="451"/>
      <c r="V70" s="688"/>
      <c r="W70" s="688"/>
      <c r="X70" s="688"/>
      <c r="Y70" s="688"/>
      <c r="Z70" s="688"/>
      <c r="AA70" s="688"/>
      <c r="AB70" s="688"/>
      <c r="AC70" s="688"/>
      <c r="AD70" s="453"/>
      <c r="AE70" s="688"/>
      <c r="AF70" s="688"/>
      <c r="AG70" s="56"/>
      <c r="AH70" s="53"/>
      <c r="AI70" s="53"/>
    </row>
    <row r="71" spans="3:37" ht="15.75" customHeight="1">
      <c r="C71" s="53"/>
      <c r="D71" s="53"/>
      <c r="E71" s="53"/>
      <c r="F71" s="53"/>
      <c r="G71" s="62"/>
      <c r="H71" s="689"/>
      <c r="I71" s="689"/>
      <c r="J71" s="689"/>
      <c r="K71" s="689"/>
      <c r="L71" s="689"/>
      <c r="M71" s="689"/>
      <c r="N71" s="689"/>
      <c r="O71" s="689"/>
      <c r="P71" s="689"/>
      <c r="Q71" s="689"/>
      <c r="R71" s="689"/>
      <c r="S71" s="689"/>
      <c r="T71" s="689"/>
      <c r="U71" s="689"/>
      <c r="V71" s="689"/>
      <c r="W71" s="689"/>
      <c r="X71" s="689"/>
      <c r="Y71" s="689"/>
      <c r="Z71" s="689"/>
      <c r="AA71" s="689"/>
      <c r="AB71" s="689"/>
      <c r="AC71" s="689"/>
      <c r="AD71" s="689"/>
      <c r="AE71" s="689"/>
      <c r="AF71" s="689"/>
      <c r="AG71" s="56"/>
      <c r="AH71" s="53"/>
      <c r="AI71" s="56"/>
    </row>
    <row r="72" spans="3:37" ht="24" customHeight="1">
      <c r="C72" s="53"/>
      <c r="D72" s="53"/>
      <c r="E72" s="53"/>
      <c r="F72" s="56"/>
      <c r="G72" s="62"/>
      <c r="H72" s="690"/>
      <c r="I72" s="690"/>
      <c r="J72" s="690"/>
      <c r="K72" s="690"/>
      <c r="L72" s="690"/>
      <c r="M72" s="690"/>
      <c r="N72" s="690"/>
      <c r="O72" s="690"/>
      <c r="P72" s="690"/>
      <c r="Q72" s="690"/>
      <c r="R72" s="690"/>
      <c r="S72" s="690"/>
      <c r="T72" s="690"/>
      <c r="U72" s="690"/>
      <c r="V72" s="690"/>
      <c r="W72" s="690"/>
      <c r="X72" s="690"/>
      <c r="Y72" s="690"/>
      <c r="Z72" s="690"/>
      <c r="AA72" s="690"/>
      <c r="AB72" s="690"/>
      <c r="AC72" s="690"/>
      <c r="AD72" s="690"/>
      <c r="AE72" s="690"/>
      <c r="AF72" s="690"/>
      <c r="AG72" s="56"/>
      <c r="AH72" s="53"/>
    </row>
    <row r="73" spans="3:37" ht="15.75" customHeight="1">
      <c r="C73" s="53"/>
      <c r="D73" s="53"/>
      <c r="E73" s="53"/>
      <c r="F73" s="53"/>
      <c r="G73" s="74"/>
      <c r="H73" s="683"/>
      <c r="I73" s="683"/>
      <c r="J73" s="451"/>
      <c r="K73" s="451"/>
      <c r="L73" s="451"/>
      <c r="M73" s="451"/>
      <c r="N73" s="451"/>
      <c r="O73" s="451"/>
      <c r="P73" s="451"/>
      <c r="Q73" s="451"/>
      <c r="R73" s="683"/>
      <c r="S73" s="683"/>
      <c r="T73" s="451"/>
      <c r="U73" s="274"/>
      <c r="V73" s="683"/>
      <c r="W73" s="683"/>
      <c r="X73" s="681"/>
      <c r="Y73" s="681"/>
      <c r="Z73" s="681"/>
      <c r="AA73" s="681"/>
      <c r="AB73" s="681"/>
      <c r="AC73" s="681"/>
      <c r="AD73" s="450"/>
      <c r="AE73" s="450"/>
      <c r="AF73" s="450"/>
      <c r="AG73" s="56"/>
      <c r="AH73" s="53"/>
    </row>
  </sheetData>
  <mergeCells count="87">
    <mergeCell ref="C12:D12"/>
    <mergeCell ref="S35:T35"/>
    <mergeCell ref="U35:V35"/>
    <mergeCell ref="H30:I30"/>
    <mergeCell ref="J30:K30"/>
    <mergeCell ref="P30:Q30"/>
    <mergeCell ref="R30:S30"/>
    <mergeCell ref="V30:W30"/>
    <mergeCell ref="H32:AF32"/>
    <mergeCell ref="H33:I33"/>
    <mergeCell ref="R33:S33"/>
    <mergeCell ref="V33:W33"/>
    <mergeCell ref="X33:Y33"/>
    <mergeCell ref="Z33:AA33"/>
    <mergeCell ref="AB33:AC33"/>
    <mergeCell ref="C4:D4"/>
    <mergeCell ref="F5:G5"/>
    <mergeCell ref="F4:AF4"/>
    <mergeCell ref="H35:I35"/>
    <mergeCell ref="J35:K35"/>
    <mergeCell ref="L35:M35"/>
    <mergeCell ref="O35:P35"/>
    <mergeCell ref="Q35:R35"/>
    <mergeCell ref="X30:Y30"/>
    <mergeCell ref="Z30:AA30"/>
    <mergeCell ref="AB30:AC30"/>
    <mergeCell ref="AE30:AF30"/>
    <mergeCell ref="H31:U31"/>
    <mergeCell ref="V31:AF31"/>
    <mergeCell ref="L30:M30"/>
    <mergeCell ref="N30:O30"/>
    <mergeCell ref="AI44:AK44"/>
    <mergeCell ref="H36:N36"/>
    <mergeCell ref="O36:V36"/>
    <mergeCell ref="H37:V37"/>
    <mergeCell ref="H38:I38"/>
    <mergeCell ref="L38:M38"/>
    <mergeCell ref="O38:P38"/>
    <mergeCell ref="Q38:R38"/>
    <mergeCell ref="S38:T38"/>
    <mergeCell ref="U38:V38"/>
    <mergeCell ref="C44:D44"/>
    <mergeCell ref="F45:G45"/>
    <mergeCell ref="H45:I45"/>
    <mergeCell ref="J45:K45"/>
    <mergeCell ref="L45:M45"/>
    <mergeCell ref="F44:AF44"/>
    <mergeCell ref="R45:S45"/>
    <mergeCell ref="AB45:AC45"/>
    <mergeCell ref="AE45:AF45"/>
    <mergeCell ref="N45:O45"/>
    <mergeCell ref="P45:Q45"/>
    <mergeCell ref="V45:W45"/>
    <mergeCell ref="X45:Y45"/>
    <mergeCell ref="Z45:AA45"/>
    <mergeCell ref="H70:I70"/>
    <mergeCell ref="J70:K70"/>
    <mergeCell ref="L70:M70"/>
    <mergeCell ref="N70:O70"/>
    <mergeCell ref="P70:Q70"/>
    <mergeCell ref="H73:I73"/>
    <mergeCell ref="V73:W73"/>
    <mergeCell ref="X73:Y73"/>
    <mergeCell ref="Z73:AA73"/>
    <mergeCell ref="H71:U71"/>
    <mergeCell ref="V71:AF71"/>
    <mergeCell ref="H72:AF72"/>
    <mergeCell ref="R73:S73"/>
    <mergeCell ref="AB73:AC73"/>
    <mergeCell ref="R70:S70"/>
    <mergeCell ref="AB70:AC70"/>
    <mergeCell ref="AE70:AF70"/>
    <mergeCell ref="V70:W70"/>
    <mergeCell ref="X70:Y70"/>
    <mergeCell ref="Z70:AA70"/>
    <mergeCell ref="AI4:AK4"/>
    <mergeCell ref="H5:I5"/>
    <mergeCell ref="J5:K5"/>
    <mergeCell ref="L5:M5"/>
    <mergeCell ref="N5:O5"/>
    <mergeCell ref="P5:Q5"/>
    <mergeCell ref="R5:S5"/>
    <mergeCell ref="V5:W5"/>
    <mergeCell ref="X5:Y5"/>
    <mergeCell ref="Z5:AA5"/>
    <mergeCell ref="AB5:AC5"/>
    <mergeCell ref="AE5:AF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B529-7A4B-4585-B2E3-8BE8AF7EF0C7}">
  <sheetPr>
    <tabColor rgb="FFD8E2F4"/>
  </sheetPr>
  <dimension ref="B3:AK77"/>
  <sheetViews>
    <sheetView topLeftCell="S4" zoomScale="88" zoomScaleNormal="88" workbookViewId="0">
      <selection activeCell="AC8" sqref="AB8:AC9"/>
    </sheetView>
  </sheetViews>
  <sheetFormatPr defaultColWidth="8.875" defaultRowHeight="15.75" customHeight="1"/>
  <cols>
    <col min="3" max="3" width="24" customWidth="1"/>
    <col min="4" max="4" width="15.875" customWidth="1"/>
    <col min="6" max="6" width="18.875" customWidth="1"/>
    <col min="7" max="7" width="14.625" customWidth="1"/>
    <col min="8" max="8" width="28.125" customWidth="1"/>
    <col min="9" max="9" width="8.875" customWidth="1"/>
    <col min="10" max="11" width="9.125" customWidth="1"/>
    <col min="12" max="12" width="10.625" customWidth="1"/>
    <col min="14" max="14" width="19" customWidth="1"/>
    <col min="15" max="15" width="11" customWidth="1"/>
    <col min="16" max="16" width="10" customWidth="1"/>
    <col min="17" max="17" width="13" customWidth="1"/>
    <col min="18" max="18" width="15" customWidth="1"/>
    <col min="19" max="19" width="13.625" customWidth="1"/>
    <col min="20" max="20" width="14.625" customWidth="1"/>
    <col min="21" max="21" width="13.375" customWidth="1"/>
    <col min="22" max="22" width="15.125" customWidth="1"/>
    <col min="28" max="28" width="22.625" customWidth="1"/>
    <col min="36" max="36" width="63.5" customWidth="1"/>
  </cols>
  <sheetData>
    <row r="3" spans="3:37" ht="17.100000000000001" thickBot="1"/>
    <row r="4" spans="3:37" ht="21">
      <c r="C4" s="484" t="s">
        <v>0</v>
      </c>
      <c r="D4" s="485"/>
      <c r="E4" s="456"/>
      <c r="F4" s="673" t="s">
        <v>398</v>
      </c>
      <c r="G4" s="674"/>
      <c r="H4" s="674"/>
      <c r="I4" s="674"/>
      <c r="J4" s="674"/>
      <c r="K4" s="674"/>
      <c r="L4" s="674"/>
      <c r="M4" s="674"/>
      <c r="N4" s="674"/>
      <c r="O4" s="674"/>
      <c r="P4" s="674"/>
      <c r="Q4" s="674"/>
      <c r="R4" s="674"/>
      <c r="S4" s="674"/>
      <c r="T4" s="674"/>
      <c r="U4" s="674"/>
      <c r="V4" s="674"/>
      <c r="W4" s="674"/>
      <c r="X4" s="674"/>
      <c r="Y4" s="674"/>
      <c r="Z4" s="674"/>
      <c r="AA4" s="674"/>
      <c r="AB4" s="674"/>
      <c r="AC4" s="674"/>
      <c r="AD4" s="674"/>
      <c r="AE4" s="674"/>
      <c r="AF4" s="675"/>
      <c r="AG4" s="459"/>
      <c r="AH4" s="53"/>
      <c r="AI4" s="489" t="s">
        <v>333</v>
      </c>
      <c r="AJ4" s="490"/>
      <c r="AK4" s="491"/>
    </row>
    <row r="5" spans="3:37" ht="18.95" customHeight="1">
      <c r="C5" s="291" t="s">
        <v>1</v>
      </c>
      <c r="D5" s="288">
        <f>H31</f>
        <v>557.32000000000005</v>
      </c>
      <c r="E5" s="458"/>
      <c r="F5" s="676" t="s">
        <v>276</v>
      </c>
      <c r="G5" s="677"/>
      <c r="H5" s="495" t="s">
        <v>334</v>
      </c>
      <c r="I5" s="497"/>
      <c r="J5" s="669" t="s">
        <v>335</v>
      </c>
      <c r="K5" s="670"/>
      <c r="L5" s="496" t="s">
        <v>336</v>
      </c>
      <c r="M5" s="496"/>
      <c r="N5" s="498" t="s">
        <v>337</v>
      </c>
      <c r="O5" s="497"/>
      <c r="P5" s="498" t="s">
        <v>338</v>
      </c>
      <c r="Q5" s="497"/>
      <c r="R5" s="498" t="s">
        <v>339</v>
      </c>
      <c r="S5" s="496"/>
      <c r="T5" s="300" t="s">
        <v>340</v>
      </c>
      <c r="U5" s="452" t="s">
        <v>9</v>
      </c>
      <c r="V5" s="499" t="s">
        <v>159</v>
      </c>
      <c r="W5" s="500"/>
      <c r="X5" s="501" t="s">
        <v>11</v>
      </c>
      <c r="Y5" s="500"/>
      <c r="Z5" s="501" t="s">
        <v>162</v>
      </c>
      <c r="AA5" s="500"/>
      <c r="AB5" s="501" t="s">
        <v>163</v>
      </c>
      <c r="AC5" s="502"/>
      <c r="AD5" s="295" t="s">
        <v>224</v>
      </c>
      <c r="AE5" s="503" t="s">
        <v>341</v>
      </c>
      <c r="AF5" s="504"/>
      <c r="AG5" s="458"/>
      <c r="AH5" s="53"/>
      <c r="AI5" s="281" t="s">
        <v>334</v>
      </c>
      <c r="AJ5" s="284" t="s">
        <v>342</v>
      </c>
      <c r="AK5" s="279"/>
    </row>
    <row r="6" spans="3:37" ht="20.100000000000001" customHeight="1">
      <c r="C6" s="292" t="s">
        <v>154</v>
      </c>
      <c r="D6" s="289">
        <f>V31</f>
        <v>345.86</v>
      </c>
      <c r="E6" s="56"/>
      <c r="F6" s="57" t="s">
        <v>6</v>
      </c>
      <c r="G6" s="58" t="s">
        <v>7</v>
      </c>
      <c r="H6" s="446" t="s">
        <v>166</v>
      </c>
      <c r="I6" s="67" t="s">
        <v>7</v>
      </c>
      <c r="J6" s="87" t="s">
        <v>166</v>
      </c>
      <c r="K6" s="67" t="s">
        <v>7</v>
      </c>
      <c r="L6" s="64" t="s">
        <v>166</v>
      </c>
      <c r="M6" s="64" t="s">
        <v>7</v>
      </c>
      <c r="N6" s="87" t="s">
        <v>166</v>
      </c>
      <c r="O6" s="64" t="s">
        <v>7</v>
      </c>
      <c r="P6" s="87" t="s">
        <v>166</v>
      </c>
      <c r="Q6" s="64" t="s">
        <v>7</v>
      </c>
      <c r="R6" s="87" t="s">
        <v>166</v>
      </c>
      <c r="S6" s="64" t="s">
        <v>7</v>
      </c>
      <c r="T6" s="301" t="s">
        <v>7</v>
      </c>
      <c r="U6" s="169" t="s">
        <v>7</v>
      </c>
      <c r="V6" s="446" t="s">
        <v>166</v>
      </c>
      <c r="W6" s="67" t="s">
        <v>7</v>
      </c>
      <c r="X6" s="64" t="s">
        <v>166</v>
      </c>
      <c r="Y6" s="64" t="s">
        <v>7</v>
      </c>
      <c r="Z6" s="87" t="s">
        <v>166</v>
      </c>
      <c r="AA6" s="67" t="s">
        <v>7</v>
      </c>
      <c r="AB6" s="64" t="s">
        <v>166</v>
      </c>
      <c r="AC6" s="64" t="s">
        <v>7</v>
      </c>
      <c r="AD6" s="296" t="s">
        <v>7</v>
      </c>
      <c r="AE6" s="448" t="s">
        <v>166</v>
      </c>
      <c r="AF6" s="447" t="s">
        <v>7</v>
      </c>
      <c r="AG6" s="460"/>
      <c r="AH6" s="53"/>
      <c r="AI6" s="281" t="s">
        <v>335</v>
      </c>
      <c r="AJ6" s="284" t="s">
        <v>343</v>
      </c>
      <c r="AK6" s="279"/>
    </row>
    <row r="7" spans="3:37" ht="15.95">
      <c r="C7" s="293" t="s">
        <v>227</v>
      </c>
      <c r="D7" s="290">
        <f>D5+D6</f>
        <v>903.18000000000006</v>
      </c>
      <c r="E7" s="56"/>
      <c r="F7" s="61" t="s">
        <v>175</v>
      </c>
      <c r="G7" s="62">
        <v>3.61</v>
      </c>
      <c r="H7" s="166" t="s">
        <v>167</v>
      </c>
      <c r="I7" s="71">
        <v>175</v>
      </c>
      <c r="J7" s="75"/>
      <c r="K7" s="71"/>
      <c r="L7" s="53"/>
      <c r="M7" s="56"/>
      <c r="N7" s="69" t="s">
        <v>185</v>
      </c>
      <c r="O7" s="71">
        <v>16.8</v>
      </c>
      <c r="P7" s="53" t="s">
        <v>42</v>
      </c>
      <c r="Q7" s="71">
        <v>30.39</v>
      </c>
      <c r="R7" s="56" t="s">
        <v>399</v>
      </c>
      <c r="S7" s="56">
        <v>7</v>
      </c>
      <c r="T7" s="259"/>
      <c r="U7" s="75">
        <v>100</v>
      </c>
      <c r="V7" s="171" t="s">
        <v>400</v>
      </c>
      <c r="W7" s="71">
        <v>10</v>
      </c>
      <c r="X7" s="69" t="s">
        <v>401</v>
      </c>
      <c r="Y7" s="71">
        <v>44.9</v>
      </c>
      <c r="Z7" s="75"/>
      <c r="AA7" s="71"/>
      <c r="AB7" s="53" t="s">
        <v>402</v>
      </c>
      <c r="AC7" s="56">
        <v>100</v>
      </c>
      <c r="AD7" s="297">
        <v>4.4800000000000004</v>
      </c>
      <c r="AE7" s="56"/>
      <c r="AF7" s="70"/>
      <c r="AG7" s="56"/>
      <c r="AH7" s="53"/>
      <c r="AI7" s="281" t="s">
        <v>350</v>
      </c>
      <c r="AJ7" s="284" t="s">
        <v>351</v>
      </c>
      <c r="AK7" s="279"/>
    </row>
    <row r="8" spans="3:37" ht="15.95">
      <c r="C8" s="294" t="s">
        <v>230</v>
      </c>
      <c r="D8" s="60">
        <f>G31</f>
        <v>-4.9600000000000364</v>
      </c>
      <c r="E8" s="56"/>
      <c r="F8" s="61" t="s">
        <v>133</v>
      </c>
      <c r="G8" s="62">
        <v>673.11</v>
      </c>
      <c r="H8" s="166" t="s">
        <v>403</v>
      </c>
      <c r="I8" s="71">
        <v>35</v>
      </c>
      <c r="J8" s="75"/>
      <c r="K8" s="71"/>
      <c r="L8" s="53"/>
      <c r="M8" s="56"/>
      <c r="N8" s="69"/>
      <c r="O8" s="56"/>
      <c r="P8" s="75" t="s">
        <v>404</v>
      </c>
      <c r="Q8" s="71">
        <v>20</v>
      </c>
      <c r="R8" s="56" t="s">
        <v>405</v>
      </c>
      <c r="S8" s="56">
        <v>3.19</v>
      </c>
      <c r="T8" s="259"/>
      <c r="U8" s="75">
        <v>2</v>
      </c>
      <c r="V8" s="171" t="s">
        <v>406</v>
      </c>
      <c r="W8" s="71">
        <v>15</v>
      </c>
      <c r="X8" s="53"/>
      <c r="Y8" s="56"/>
      <c r="Z8" s="75"/>
      <c r="AA8" s="71"/>
      <c r="AB8" s="53" t="s">
        <v>407</v>
      </c>
      <c r="AC8" s="56">
        <v>5.18</v>
      </c>
      <c r="AD8" s="297"/>
      <c r="AE8" s="56"/>
      <c r="AF8" s="70"/>
      <c r="AG8" s="56"/>
      <c r="AH8" s="53"/>
      <c r="AI8" s="281" t="s">
        <v>357</v>
      </c>
      <c r="AJ8" s="284" t="s">
        <v>358</v>
      </c>
      <c r="AK8" s="279"/>
    </row>
    <row r="9" spans="3:37" ht="15.95">
      <c r="C9" s="72"/>
      <c r="D9" s="126"/>
      <c r="E9" s="56"/>
      <c r="F9" s="363" t="s">
        <v>408</v>
      </c>
      <c r="G9" s="364">
        <v>200</v>
      </c>
      <c r="H9" s="166" t="s">
        <v>409</v>
      </c>
      <c r="I9" s="71">
        <v>16.5</v>
      </c>
      <c r="J9" s="75"/>
      <c r="K9" s="71"/>
      <c r="L9" s="56"/>
      <c r="M9" s="56"/>
      <c r="N9" s="75"/>
      <c r="O9" s="56"/>
      <c r="P9" s="75" t="s">
        <v>404</v>
      </c>
      <c r="Q9" s="71">
        <v>19.3</v>
      </c>
      <c r="R9" s="56" t="s">
        <v>410</v>
      </c>
      <c r="S9" s="56">
        <v>2.39</v>
      </c>
      <c r="T9" s="259"/>
      <c r="U9" s="75">
        <v>7.29</v>
      </c>
      <c r="V9" s="171" t="s">
        <v>411</v>
      </c>
      <c r="W9" s="71">
        <v>15</v>
      </c>
      <c r="X9" s="53"/>
      <c r="Y9" s="56"/>
      <c r="Z9" s="75"/>
      <c r="AA9" s="71"/>
      <c r="AB9" s="53" t="s">
        <v>412</v>
      </c>
      <c r="AC9" s="56">
        <v>17</v>
      </c>
      <c r="AD9" s="297"/>
      <c r="AE9" s="56"/>
      <c r="AF9" s="70"/>
      <c r="AG9" s="56"/>
      <c r="AH9" s="53"/>
      <c r="AI9" s="281" t="s">
        <v>363</v>
      </c>
      <c r="AJ9" s="284" t="s">
        <v>364</v>
      </c>
      <c r="AK9" s="279"/>
    </row>
    <row r="10" spans="3:37" ht="15.95">
      <c r="C10" s="53"/>
      <c r="D10" s="56"/>
      <c r="E10" s="56"/>
      <c r="F10" s="61" t="s">
        <v>413</v>
      </c>
      <c r="G10" s="62">
        <v>25</v>
      </c>
      <c r="H10" s="166" t="s">
        <v>414</v>
      </c>
      <c r="I10" s="71">
        <v>35</v>
      </c>
      <c r="J10" s="75"/>
      <c r="K10" s="71"/>
      <c r="L10" s="56"/>
      <c r="M10" s="56"/>
      <c r="N10" s="75"/>
      <c r="O10" s="56"/>
      <c r="P10" s="75" t="s">
        <v>404</v>
      </c>
      <c r="Q10" s="71">
        <v>25.57</v>
      </c>
      <c r="R10" s="56"/>
      <c r="S10" s="56"/>
      <c r="T10" s="259"/>
      <c r="U10" s="75">
        <v>3.43</v>
      </c>
      <c r="V10" s="171" t="s">
        <v>415</v>
      </c>
      <c r="W10" s="71">
        <v>9.5</v>
      </c>
      <c r="X10" s="53"/>
      <c r="Y10" s="56"/>
      <c r="Z10" s="75"/>
      <c r="AA10" s="71"/>
      <c r="AB10" s="159" t="s">
        <v>416</v>
      </c>
      <c r="AC10" s="306"/>
      <c r="AD10" s="297"/>
      <c r="AE10" s="56"/>
      <c r="AF10" s="70"/>
      <c r="AG10" s="56"/>
      <c r="AH10" s="53"/>
      <c r="AI10" s="281" t="s">
        <v>201</v>
      </c>
      <c r="AJ10" s="285" t="s">
        <v>202</v>
      </c>
      <c r="AK10" s="279"/>
    </row>
    <row r="11" spans="3:37" ht="15.95" customHeight="1">
      <c r="C11" s="483" t="s">
        <v>392</v>
      </c>
      <c r="D11" s="483"/>
      <c r="E11" s="56"/>
      <c r="F11" s="61"/>
      <c r="G11" s="62">
        <v>5</v>
      </c>
      <c r="H11" s="166" t="s">
        <v>417</v>
      </c>
      <c r="I11" s="71">
        <v>11</v>
      </c>
      <c r="J11" s="75"/>
      <c r="K11" s="71"/>
      <c r="L11" s="56"/>
      <c r="M11" s="56"/>
      <c r="N11" s="75"/>
      <c r="O11" s="56"/>
      <c r="P11" s="75"/>
      <c r="Q11" s="71"/>
      <c r="R11" s="56"/>
      <c r="S11" s="56"/>
      <c r="T11" s="259"/>
      <c r="U11" s="75">
        <v>1</v>
      </c>
      <c r="V11" s="171" t="s">
        <v>418</v>
      </c>
      <c r="W11" s="71">
        <v>7</v>
      </c>
      <c r="X11" s="53"/>
      <c r="Y11" s="56"/>
      <c r="Z11" s="75"/>
      <c r="AA11" s="71"/>
      <c r="AB11" s="159" t="s">
        <v>419</v>
      </c>
      <c r="AC11" s="306">
        <v>60</v>
      </c>
      <c r="AD11" s="297"/>
      <c r="AE11" s="56"/>
      <c r="AF11" s="70"/>
      <c r="AG11" s="56"/>
      <c r="AH11" s="53"/>
      <c r="AI11" s="281" t="s">
        <v>340</v>
      </c>
      <c r="AJ11" s="285" t="s">
        <v>367</v>
      </c>
      <c r="AK11" s="279"/>
    </row>
    <row r="12" spans="3:37" ht="15.95">
      <c r="C12" s="248" t="s">
        <v>394</v>
      </c>
      <c r="D12" s="249">
        <v>789</v>
      </c>
      <c r="E12" s="458"/>
      <c r="F12" s="61"/>
      <c r="G12" s="62"/>
      <c r="H12" s="166" t="s">
        <v>420</v>
      </c>
      <c r="I12" s="71">
        <v>11.5</v>
      </c>
      <c r="J12" s="75"/>
      <c r="K12" s="71"/>
      <c r="L12" s="56"/>
      <c r="M12" s="56"/>
      <c r="N12" s="75"/>
      <c r="O12" s="56"/>
      <c r="P12" s="75"/>
      <c r="Q12" s="71"/>
      <c r="R12" s="56"/>
      <c r="S12" s="56"/>
      <c r="T12" s="259"/>
      <c r="U12" s="75">
        <v>5.4</v>
      </c>
      <c r="V12" s="171" t="s">
        <v>421</v>
      </c>
      <c r="W12" s="71">
        <v>10.7</v>
      </c>
      <c r="X12" s="53"/>
      <c r="Y12" s="56"/>
      <c r="Z12" s="75"/>
      <c r="AA12" s="71"/>
      <c r="AB12" s="159" t="s">
        <v>422</v>
      </c>
      <c r="AC12" s="306">
        <v>6.5</v>
      </c>
      <c r="AD12" s="297"/>
      <c r="AE12" s="56"/>
      <c r="AF12" s="70"/>
      <c r="AG12" s="56"/>
      <c r="AH12" s="53"/>
      <c r="AI12" s="281" t="s">
        <v>9</v>
      </c>
      <c r="AJ12" s="285" t="s">
        <v>210</v>
      </c>
      <c r="AK12" s="279"/>
    </row>
    <row r="13" spans="3:37" ht="15.95">
      <c r="C13" s="248" t="s">
        <v>396</v>
      </c>
      <c r="D13" s="249">
        <f>G27</f>
        <v>0</v>
      </c>
      <c r="E13" s="77"/>
      <c r="F13" s="61"/>
      <c r="G13" s="76"/>
      <c r="H13" s="166"/>
      <c r="I13" s="71"/>
      <c r="J13" s="75"/>
      <c r="K13" s="71"/>
      <c r="L13" s="56"/>
      <c r="M13" s="56"/>
      <c r="N13" s="75"/>
      <c r="O13" s="56"/>
      <c r="P13" s="75"/>
      <c r="Q13" s="71"/>
      <c r="R13" s="56"/>
      <c r="S13" s="56"/>
      <c r="T13" s="259"/>
      <c r="U13" s="75">
        <v>4.07</v>
      </c>
      <c r="V13" s="171" t="s">
        <v>423</v>
      </c>
      <c r="W13" s="71">
        <v>3.55</v>
      </c>
      <c r="X13" s="53"/>
      <c r="Y13" s="56"/>
      <c r="Z13" s="75"/>
      <c r="AA13" s="71"/>
      <c r="AB13" s="159" t="s">
        <v>424</v>
      </c>
      <c r="AC13" s="306">
        <v>31.75</v>
      </c>
      <c r="AD13" s="297"/>
      <c r="AE13" s="56"/>
      <c r="AF13" s="70"/>
      <c r="AG13" s="56"/>
      <c r="AH13" s="53"/>
      <c r="AI13" s="282" t="s">
        <v>159</v>
      </c>
      <c r="AJ13" s="286" t="s">
        <v>368</v>
      </c>
      <c r="AK13" s="276"/>
    </row>
    <row r="14" spans="3:37" ht="15.95">
      <c r="C14" s="248" t="s">
        <v>173</v>
      </c>
      <c r="D14" s="249">
        <v>2930</v>
      </c>
      <c r="E14" s="77"/>
      <c r="F14" s="78"/>
      <c r="G14" s="76"/>
      <c r="H14" s="166"/>
      <c r="I14" s="71"/>
      <c r="J14" s="75"/>
      <c r="K14" s="71"/>
      <c r="L14" s="56"/>
      <c r="M14" s="56"/>
      <c r="N14" s="75"/>
      <c r="O14" s="56"/>
      <c r="P14" s="75"/>
      <c r="Q14" s="71"/>
      <c r="R14" s="56"/>
      <c r="S14" s="56"/>
      <c r="T14" s="259"/>
      <c r="U14" s="75">
        <v>4.28</v>
      </c>
      <c r="V14" s="171"/>
      <c r="W14" s="71"/>
      <c r="X14" s="53"/>
      <c r="Y14" s="56"/>
      <c r="Z14" s="75"/>
      <c r="AA14" s="71"/>
      <c r="AB14" s="53"/>
      <c r="AC14" s="56"/>
      <c r="AD14" s="297"/>
      <c r="AE14" s="56"/>
      <c r="AF14" s="70"/>
      <c r="AG14" s="56"/>
      <c r="AH14" s="53"/>
      <c r="AI14" s="282" t="s">
        <v>161</v>
      </c>
      <c r="AJ14" s="287" t="s">
        <v>369</v>
      </c>
      <c r="AK14" s="276"/>
    </row>
    <row r="15" spans="3:37" ht="15" customHeight="1">
      <c r="C15" s="250" t="s">
        <v>425</v>
      </c>
      <c r="D15" s="251">
        <v>300</v>
      </c>
      <c r="E15" s="77"/>
      <c r="F15" s="78"/>
      <c r="G15" s="76"/>
      <c r="H15" s="166"/>
      <c r="I15" s="71"/>
      <c r="J15" s="75"/>
      <c r="K15" s="71"/>
      <c r="L15" s="56"/>
      <c r="M15" s="56"/>
      <c r="N15" s="75"/>
      <c r="O15" s="56"/>
      <c r="P15" s="75"/>
      <c r="Q15" s="71"/>
      <c r="R15" s="56"/>
      <c r="S15" s="56"/>
      <c r="T15" s="259"/>
      <c r="U15" s="75">
        <v>2.69</v>
      </c>
      <c r="V15" s="171"/>
      <c r="W15" s="71"/>
      <c r="X15" s="53"/>
      <c r="Y15" s="56"/>
      <c r="Z15" s="75"/>
      <c r="AA15" s="71"/>
      <c r="AB15" s="53" t="s">
        <v>426</v>
      </c>
      <c r="AC15" s="56">
        <v>5.3</v>
      </c>
      <c r="AD15" s="297"/>
      <c r="AE15" s="56"/>
      <c r="AF15" s="70"/>
      <c r="AG15" s="56"/>
      <c r="AH15" s="53"/>
      <c r="AI15" s="282" t="s">
        <v>162</v>
      </c>
      <c r="AJ15" s="287" t="s">
        <v>370</v>
      </c>
      <c r="AK15" s="276"/>
    </row>
    <row r="16" spans="3:37" ht="15.95">
      <c r="C16" s="248" t="s">
        <v>427</v>
      </c>
      <c r="D16" s="249">
        <v>-350</v>
      </c>
      <c r="E16" s="77"/>
      <c r="F16" s="61"/>
      <c r="G16" s="62"/>
      <c r="H16" s="166"/>
      <c r="I16" s="71"/>
      <c r="J16" s="75"/>
      <c r="K16" s="71"/>
      <c r="L16" s="56"/>
      <c r="M16" s="56"/>
      <c r="N16" s="75"/>
      <c r="O16" s="56"/>
      <c r="P16" s="69"/>
      <c r="Q16" s="71"/>
      <c r="R16" s="56"/>
      <c r="S16" s="56"/>
      <c r="T16" s="259"/>
      <c r="U16" s="75">
        <v>1.99</v>
      </c>
      <c r="V16" s="171"/>
      <c r="W16" s="71"/>
      <c r="X16" s="53"/>
      <c r="Y16" s="56"/>
      <c r="Z16" s="75"/>
      <c r="AA16" s="71"/>
      <c r="AB16" s="53"/>
      <c r="AC16" s="56"/>
      <c r="AD16" s="297"/>
      <c r="AE16" s="61"/>
      <c r="AF16" s="70"/>
      <c r="AG16" s="56"/>
      <c r="AH16" s="53"/>
      <c r="AI16" s="282" t="s">
        <v>163</v>
      </c>
      <c r="AJ16" s="286" t="s">
        <v>371</v>
      </c>
      <c r="AK16" s="276"/>
    </row>
    <row r="17" spans="2:37" ht="15.95">
      <c r="C17" s="248" t="s">
        <v>428</v>
      </c>
      <c r="D17" s="249">
        <v>-267</v>
      </c>
      <c r="E17" s="56"/>
      <c r="F17" s="79"/>
      <c r="G17" s="80"/>
      <c r="H17" s="166"/>
      <c r="I17" s="71"/>
      <c r="J17" s="75"/>
      <c r="K17" s="71"/>
      <c r="L17" s="56"/>
      <c r="M17" s="56"/>
      <c r="N17" s="75"/>
      <c r="O17" s="56"/>
      <c r="P17" s="75"/>
      <c r="Q17" s="71"/>
      <c r="R17" s="56"/>
      <c r="S17" s="56"/>
      <c r="T17" s="259"/>
      <c r="U17" s="75">
        <v>6.57</v>
      </c>
      <c r="V17" s="171"/>
      <c r="W17" s="71"/>
      <c r="X17" s="53"/>
      <c r="Y17" s="56"/>
      <c r="Z17" s="75"/>
      <c r="AA17" s="71"/>
      <c r="AB17" s="53"/>
      <c r="AC17" s="56"/>
      <c r="AD17" s="297"/>
      <c r="AE17" s="61"/>
      <c r="AF17" s="70"/>
      <c r="AG17" s="56"/>
      <c r="AH17" s="53"/>
      <c r="AI17" s="282" t="s">
        <v>224</v>
      </c>
      <c r="AJ17" s="287" t="s">
        <v>225</v>
      </c>
      <c r="AK17" s="276"/>
    </row>
    <row r="18" spans="2:37" ht="15" customHeight="1" thickBot="1">
      <c r="B18" t="s">
        <v>429</v>
      </c>
      <c r="C18" s="250" t="s">
        <v>430</v>
      </c>
      <c r="D18" s="251">
        <v>-115</v>
      </c>
      <c r="E18" s="458"/>
      <c r="F18" s="78"/>
      <c r="G18" s="76"/>
      <c r="H18" s="166"/>
      <c r="I18" s="71"/>
      <c r="J18" s="75"/>
      <c r="K18" s="71"/>
      <c r="L18" s="56"/>
      <c r="M18" s="56"/>
      <c r="N18" s="75"/>
      <c r="O18" s="56"/>
      <c r="P18" s="75"/>
      <c r="Q18" s="71"/>
      <c r="R18" s="56"/>
      <c r="S18" s="56"/>
      <c r="T18" s="259"/>
      <c r="U18" s="75">
        <v>0.28000000000000003</v>
      </c>
      <c r="V18" s="171"/>
      <c r="W18" s="71"/>
      <c r="X18" s="53"/>
      <c r="Y18" s="56"/>
      <c r="Z18" s="75"/>
      <c r="AA18" s="71"/>
      <c r="AB18" s="53"/>
      <c r="AC18" s="76"/>
      <c r="AD18" s="298"/>
      <c r="AE18" s="255"/>
      <c r="AF18" s="81"/>
      <c r="AG18" s="76"/>
      <c r="AH18" s="53"/>
      <c r="AI18" s="283" t="s">
        <v>341</v>
      </c>
      <c r="AJ18" s="277" t="s">
        <v>372</v>
      </c>
      <c r="AK18" s="278"/>
    </row>
    <row r="19" spans="2:37" ht="15.95">
      <c r="C19" s="250" t="s">
        <v>431</v>
      </c>
      <c r="D19" s="251">
        <v>-30</v>
      </c>
      <c r="E19" s="77"/>
      <c r="F19" s="78"/>
      <c r="G19" s="76"/>
      <c r="H19" s="166"/>
      <c r="I19" s="71"/>
      <c r="J19" s="75"/>
      <c r="K19" s="71"/>
      <c r="L19" s="56"/>
      <c r="M19" s="56"/>
      <c r="N19" s="75"/>
      <c r="O19" s="56"/>
      <c r="P19" s="75"/>
      <c r="Q19" s="71"/>
      <c r="R19" s="56"/>
      <c r="S19" s="56"/>
      <c r="T19" s="259"/>
      <c r="U19" s="75">
        <v>7.28</v>
      </c>
      <c r="V19" s="171"/>
      <c r="W19" s="71"/>
      <c r="X19" s="53"/>
      <c r="Y19" s="56"/>
      <c r="Z19" s="75"/>
      <c r="AA19" s="71"/>
      <c r="AB19" s="53"/>
      <c r="AC19" s="56"/>
      <c r="AD19" s="297"/>
      <c r="AE19" s="61"/>
      <c r="AF19" s="70"/>
      <c r="AG19" s="56"/>
      <c r="AH19" s="53"/>
      <c r="AI19" s="53"/>
    </row>
    <row r="20" spans="2:37" ht="15" customHeight="1">
      <c r="C20" s="252" t="s">
        <v>227</v>
      </c>
      <c r="D20" s="253">
        <f>SUM(D12:D19)</f>
        <v>3257</v>
      </c>
      <c r="E20" s="77"/>
      <c r="F20" s="78"/>
      <c r="G20" s="76"/>
      <c r="H20" s="166"/>
      <c r="I20" s="71"/>
      <c r="J20" s="75"/>
      <c r="K20" s="71"/>
      <c r="L20" s="56"/>
      <c r="M20" s="56"/>
      <c r="N20" s="75"/>
      <c r="O20" s="56"/>
      <c r="P20" s="75"/>
      <c r="Q20" s="71"/>
      <c r="R20" s="56"/>
      <c r="S20" s="56"/>
      <c r="T20" s="259"/>
      <c r="U20" s="75">
        <v>2.4</v>
      </c>
      <c r="V20" s="171"/>
      <c r="W20" s="71"/>
      <c r="X20" s="53"/>
      <c r="Y20" s="56"/>
      <c r="Z20" s="75"/>
      <c r="AA20" s="71"/>
      <c r="AB20" s="53"/>
      <c r="AC20" s="56"/>
      <c r="AD20" s="297"/>
      <c r="AE20" s="61"/>
      <c r="AF20" s="70"/>
      <c r="AG20" s="56"/>
      <c r="AH20" s="53"/>
      <c r="AI20" s="53"/>
    </row>
    <row r="21" spans="2:37" ht="15" customHeight="1">
      <c r="C21" s="53"/>
      <c r="D21" s="53"/>
      <c r="E21" s="77"/>
      <c r="F21" s="78"/>
      <c r="G21" s="76"/>
      <c r="H21" s="166"/>
      <c r="I21" s="71"/>
      <c r="J21" s="75"/>
      <c r="K21" s="71"/>
      <c r="L21" s="56"/>
      <c r="M21" s="56"/>
      <c r="N21" s="75"/>
      <c r="O21" s="56"/>
      <c r="P21" s="75"/>
      <c r="Q21" s="71"/>
      <c r="R21" s="56"/>
      <c r="S21" s="56"/>
      <c r="T21" s="259"/>
      <c r="U21" s="75"/>
      <c r="V21" s="171"/>
      <c r="W21" s="71"/>
      <c r="X21" s="53"/>
      <c r="Y21" s="56"/>
      <c r="Z21" s="75"/>
      <c r="AA21" s="71"/>
      <c r="AB21" s="53"/>
      <c r="AC21" s="56"/>
      <c r="AD21" s="297"/>
      <c r="AE21" s="61"/>
      <c r="AF21" s="70"/>
      <c r="AG21" s="56"/>
      <c r="AH21" s="53"/>
      <c r="AI21" s="53"/>
    </row>
    <row r="22" spans="2:37" ht="15" customHeight="1">
      <c r="C22" s="53"/>
      <c r="D22" s="53"/>
      <c r="E22" s="77"/>
      <c r="F22" s="68"/>
      <c r="G22" s="74"/>
      <c r="H22" s="166"/>
      <c r="I22" s="71"/>
      <c r="J22" s="75"/>
      <c r="K22" s="71"/>
      <c r="L22" s="56"/>
      <c r="M22" s="56"/>
      <c r="N22" s="75"/>
      <c r="O22" s="56"/>
      <c r="P22" s="75"/>
      <c r="Q22" s="71"/>
      <c r="R22" s="56"/>
      <c r="S22" s="56"/>
      <c r="T22" s="259"/>
      <c r="U22" s="75"/>
      <c r="V22" s="171"/>
      <c r="W22" s="71"/>
      <c r="X22" s="53"/>
      <c r="Y22" s="56"/>
      <c r="Z22" s="75"/>
      <c r="AA22" s="71"/>
      <c r="AB22" s="53"/>
      <c r="AC22" s="56"/>
      <c r="AD22" s="297"/>
      <c r="AE22" s="61"/>
      <c r="AF22" s="70"/>
      <c r="AG22" s="56"/>
      <c r="AH22" s="53"/>
      <c r="AI22" s="53"/>
      <c r="AK22" s="112"/>
    </row>
    <row r="23" spans="2:37" ht="15" customHeight="1">
      <c r="C23" s="53"/>
      <c r="D23" s="53"/>
      <c r="E23" s="77"/>
      <c r="F23" s="68"/>
      <c r="G23" s="74"/>
      <c r="H23" s="166"/>
      <c r="I23" s="71"/>
      <c r="J23" s="75"/>
      <c r="K23" s="71"/>
      <c r="L23" s="56"/>
      <c r="M23" s="56"/>
      <c r="N23" s="75"/>
      <c r="O23" s="56"/>
      <c r="P23" s="75"/>
      <c r="Q23" s="71"/>
      <c r="R23" s="56"/>
      <c r="S23" s="56"/>
      <c r="T23" s="259"/>
      <c r="U23" s="75"/>
      <c r="V23" s="171"/>
      <c r="W23" s="71"/>
      <c r="X23" s="53"/>
      <c r="Y23" s="56"/>
      <c r="Z23" s="75"/>
      <c r="AA23" s="71"/>
      <c r="AB23" s="53"/>
      <c r="AC23" s="56"/>
      <c r="AD23" s="297"/>
      <c r="AE23" s="61"/>
      <c r="AF23" s="70"/>
      <c r="AG23" s="56"/>
      <c r="AH23" s="53"/>
      <c r="AI23" s="53"/>
      <c r="AK23" s="112"/>
    </row>
    <row r="24" spans="2:37" ht="15" customHeight="1">
      <c r="C24" s="53"/>
      <c r="D24" s="53"/>
      <c r="E24" s="77"/>
      <c r="F24" s="68"/>
      <c r="G24" s="74"/>
      <c r="H24" s="166"/>
      <c r="I24" s="71"/>
      <c r="J24" s="75"/>
      <c r="K24" s="71"/>
      <c r="L24" s="56"/>
      <c r="M24" s="56"/>
      <c r="N24" s="75"/>
      <c r="O24" s="56"/>
      <c r="P24" s="75"/>
      <c r="Q24" s="71"/>
      <c r="R24" s="56"/>
      <c r="S24" s="56"/>
      <c r="T24" s="259"/>
      <c r="U24" s="75"/>
      <c r="V24" s="171"/>
      <c r="W24" s="71"/>
      <c r="X24" s="53"/>
      <c r="Y24" s="56"/>
      <c r="Z24" s="75"/>
      <c r="AA24" s="71"/>
      <c r="AB24" s="53"/>
      <c r="AC24" s="56"/>
      <c r="AD24" s="297"/>
      <c r="AE24" s="61"/>
      <c r="AF24" s="70"/>
      <c r="AG24" s="56"/>
      <c r="AH24" s="53"/>
      <c r="AI24" s="53"/>
      <c r="AK24" s="112"/>
    </row>
    <row r="25" spans="2:37" ht="15" customHeight="1">
      <c r="C25" s="53"/>
      <c r="D25" s="53"/>
      <c r="E25" s="53"/>
      <c r="F25" s="68"/>
      <c r="G25" s="74"/>
      <c r="H25" s="166"/>
      <c r="I25" s="71"/>
      <c r="J25" s="75"/>
      <c r="K25" s="71"/>
      <c r="L25" s="56"/>
      <c r="M25" s="56"/>
      <c r="N25" s="75"/>
      <c r="O25" s="56"/>
      <c r="P25" s="75"/>
      <c r="Q25" s="71"/>
      <c r="R25" s="56"/>
      <c r="S25" s="56"/>
      <c r="T25" s="259"/>
      <c r="U25" s="75"/>
      <c r="V25" s="171"/>
      <c r="W25" s="71"/>
      <c r="X25" s="53"/>
      <c r="Y25" s="56"/>
      <c r="Z25" s="75"/>
      <c r="AA25" s="71"/>
      <c r="AB25" s="53"/>
      <c r="AC25" s="56"/>
      <c r="AD25" s="297"/>
      <c r="AE25" s="61"/>
      <c r="AF25" s="70"/>
      <c r="AG25" s="56"/>
      <c r="AH25" s="53"/>
      <c r="AI25" s="53"/>
      <c r="AK25" s="112"/>
    </row>
    <row r="26" spans="2:37" ht="15" customHeight="1">
      <c r="C26" s="53"/>
      <c r="D26" s="53"/>
      <c r="E26" s="53"/>
      <c r="F26" s="68" t="s">
        <v>227</v>
      </c>
      <c r="G26" s="62">
        <f>SUM(G7:G25)</f>
        <v>906.72</v>
      </c>
      <c r="H26" s="166"/>
      <c r="I26" s="71"/>
      <c r="J26" s="75"/>
      <c r="K26" s="71"/>
      <c r="L26" s="56"/>
      <c r="M26" s="56"/>
      <c r="N26" s="75"/>
      <c r="O26" s="56"/>
      <c r="P26" s="75"/>
      <c r="Q26" s="71"/>
      <c r="R26" s="56"/>
      <c r="S26" s="56"/>
      <c r="T26" s="259"/>
      <c r="U26" s="75"/>
      <c r="V26" s="171"/>
      <c r="W26" s="71"/>
      <c r="X26" s="53"/>
      <c r="Y26" s="56"/>
      <c r="Z26" s="75"/>
      <c r="AA26" s="71"/>
      <c r="AB26" s="53"/>
      <c r="AC26" s="56"/>
      <c r="AD26" s="297"/>
      <c r="AE26" s="61"/>
      <c r="AF26" s="70"/>
      <c r="AG26" s="56"/>
      <c r="AH26" s="53"/>
      <c r="AI26" s="53"/>
      <c r="AK26" s="112"/>
    </row>
    <row r="27" spans="2:37" ht="15" customHeight="1">
      <c r="C27" s="53"/>
      <c r="D27" s="53"/>
      <c r="E27" s="53"/>
      <c r="F27" s="68" t="s">
        <v>16</v>
      </c>
      <c r="G27" s="62">
        <v>0</v>
      </c>
      <c r="H27" s="166"/>
      <c r="I27" s="71"/>
      <c r="J27" s="75"/>
      <c r="K27" s="71"/>
      <c r="L27" s="56"/>
      <c r="M27" s="56"/>
      <c r="N27" s="75"/>
      <c r="O27" s="56"/>
      <c r="P27" s="75"/>
      <c r="Q27" s="71"/>
      <c r="R27" s="56"/>
      <c r="S27" s="56"/>
      <c r="T27" s="259"/>
      <c r="U27" s="75"/>
      <c r="V27" s="171"/>
      <c r="W27" s="71"/>
      <c r="X27" s="53"/>
      <c r="Y27" s="56"/>
      <c r="Z27" s="75"/>
      <c r="AA27" s="71"/>
      <c r="AB27" s="53"/>
      <c r="AC27" s="56"/>
      <c r="AD27" s="297"/>
      <c r="AE27" s="61"/>
      <c r="AF27" s="70"/>
      <c r="AG27" s="56"/>
      <c r="AH27" s="53"/>
      <c r="AI27" s="53"/>
      <c r="AK27" s="112"/>
    </row>
    <row r="28" spans="2:37" ht="15" customHeight="1">
      <c r="C28" s="53"/>
      <c r="D28" s="53"/>
      <c r="E28" s="53"/>
      <c r="F28" s="68" t="s">
        <v>373</v>
      </c>
      <c r="G28" s="62">
        <v>8.5</v>
      </c>
      <c r="H28" s="166"/>
      <c r="I28" s="71"/>
      <c r="J28" s="75"/>
      <c r="K28" s="71"/>
      <c r="L28" s="56"/>
      <c r="M28" s="56"/>
      <c r="N28" s="75"/>
      <c r="O28" s="56"/>
      <c r="P28" s="75"/>
      <c r="Q28" s="71"/>
      <c r="R28" s="56"/>
      <c r="S28" s="56"/>
      <c r="T28" s="259"/>
      <c r="U28" s="75"/>
      <c r="V28" s="171"/>
      <c r="W28" s="71"/>
      <c r="X28" s="53"/>
      <c r="Y28" s="56"/>
      <c r="Z28" s="75"/>
      <c r="AA28" s="71"/>
      <c r="AB28" s="53"/>
      <c r="AC28" s="56"/>
      <c r="AD28" s="297"/>
      <c r="AE28" s="61"/>
      <c r="AF28" s="70"/>
      <c r="AG28" s="56"/>
      <c r="AH28" s="53"/>
      <c r="AI28" s="53"/>
    </row>
    <row r="29" spans="2:37" ht="15" customHeight="1">
      <c r="C29" s="53"/>
      <c r="D29" s="53"/>
      <c r="E29" s="53"/>
      <c r="F29" s="68"/>
      <c r="G29" s="62"/>
      <c r="H29" s="166"/>
      <c r="I29" s="71"/>
      <c r="J29" s="75"/>
      <c r="K29" s="71"/>
      <c r="L29" s="56"/>
      <c r="M29" s="56"/>
      <c r="N29" s="75"/>
      <c r="O29" s="56"/>
      <c r="P29" s="75"/>
      <c r="Q29" s="71"/>
      <c r="R29" s="56"/>
      <c r="S29" s="56"/>
      <c r="T29" s="259"/>
      <c r="U29" s="75"/>
      <c r="V29" s="171"/>
      <c r="W29" s="71"/>
      <c r="X29" s="53"/>
      <c r="Y29" s="56"/>
      <c r="Z29" s="75"/>
      <c r="AA29" s="71"/>
      <c r="AB29" s="53"/>
      <c r="AC29" s="56"/>
      <c r="AD29" s="297"/>
      <c r="AE29" s="61"/>
      <c r="AF29" s="70"/>
      <c r="AG29" s="56"/>
      <c r="AH29" s="53"/>
      <c r="AI29" s="53"/>
    </row>
    <row r="30" spans="2:37" ht="15" customHeight="1">
      <c r="C30" s="53"/>
      <c r="D30" s="53"/>
      <c r="E30" s="53"/>
      <c r="F30" s="122" t="s">
        <v>229</v>
      </c>
      <c r="G30" s="164">
        <f>G26-G27-G28-G29</f>
        <v>898.22</v>
      </c>
      <c r="H30" s="684">
        <f>SUM(I7:I29)</f>
        <v>284</v>
      </c>
      <c r="I30" s="481"/>
      <c r="J30" s="671">
        <f>SUM(K7:K29)</f>
        <v>0</v>
      </c>
      <c r="K30" s="672"/>
      <c r="L30" s="480">
        <f>SUM(M7:M29)</f>
        <v>0</v>
      </c>
      <c r="M30" s="480"/>
      <c r="N30" s="482">
        <f>SUM(O7:O29)</f>
        <v>16.8</v>
      </c>
      <c r="O30" s="481"/>
      <c r="P30" s="482">
        <f>SUM(Q7:Q29)</f>
        <v>95.259999999999991</v>
      </c>
      <c r="Q30" s="481"/>
      <c r="R30" s="471">
        <f>SUM(S7:S29)</f>
        <v>12.58</v>
      </c>
      <c r="S30" s="471"/>
      <c r="T30" s="302">
        <f>SUM(T7:T29)</f>
        <v>0</v>
      </c>
      <c r="U30" s="275">
        <f>SUM(U7:U29)</f>
        <v>148.68000000000004</v>
      </c>
      <c r="V30" s="472">
        <f>SUM(W7:W29)</f>
        <v>70.75</v>
      </c>
      <c r="W30" s="473"/>
      <c r="X30" s="474">
        <f>SUM(Y7:Y29)</f>
        <v>44.9</v>
      </c>
      <c r="Y30" s="474"/>
      <c r="Z30" s="475">
        <f>SUM(AA7:AA29)</f>
        <v>0</v>
      </c>
      <c r="AA30" s="473"/>
      <c r="AB30" s="474">
        <f>SUM(AC7:AC29)</f>
        <v>225.73000000000002</v>
      </c>
      <c r="AC30" s="474"/>
      <c r="AD30" s="299">
        <f>SUM(AD7:AD29)</f>
        <v>4.4800000000000004</v>
      </c>
      <c r="AE30" s="476">
        <f>SUM(AF7:AF29)</f>
        <v>0</v>
      </c>
      <c r="AF30" s="477"/>
      <c r="AG30" s="56"/>
      <c r="AH30" s="53"/>
      <c r="AI30" s="53"/>
    </row>
    <row r="31" spans="2:37" ht="15" customHeight="1" thickBot="1">
      <c r="C31" s="53"/>
      <c r="D31" s="53"/>
      <c r="E31" s="53"/>
      <c r="F31" s="124" t="s">
        <v>230</v>
      </c>
      <c r="G31" s="165">
        <f>G30-H32</f>
        <v>-4.9600000000000364</v>
      </c>
      <c r="H31" s="682">
        <f>SUM(H30:U30)</f>
        <v>557.32000000000005</v>
      </c>
      <c r="I31" s="682"/>
      <c r="J31" s="682"/>
      <c r="K31" s="682"/>
      <c r="L31" s="682"/>
      <c r="M31" s="682"/>
      <c r="N31" s="682"/>
      <c r="O31" s="682"/>
      <c r="P31" s="682"/>
      <c r="Q31" s="682"/>
      <c r="R31" s="682"/>
      <c r="S31" s="682"/>
      <c r="T31" s="682"/>
      <c r="U31" s="682"/>
      <c r="V31" s="685">
        <f>SUM(V30:AF30)</f>
        <v>345.86</v>
      </c>
      <c r="W31" s="686"/>
      <c r="X31" s="686"/>
      <c r="Y31" s="686"/>
      <c r="Z31" s="686"/>
      <c r="AA31" s="686"/>
      <c r="AB31" s="686"/>
      <c r="AC31" s="686"/>
      <c r="AD31" s="686"/>
      <c r="AE31" s="686"/>
      <c r="AF31" s="687"/>
      <c r="AG31" s="56"/>
      <c r="AH31" s="53"/>
      <c r="AI31" s="56"/>
    </row>
    <row r="32" spans="2:37" ht="24" customHeight="1" thickBot="1">
      <c r="C32" s="53"/>
      <c r="D32" s="53"/>
      <c r="E32" s="53"/>
      <c r="F32" s="56"/>
      <c r="G32" s="62"/>
      <c r="H32" s="678">
        <f>SUM(H31:AC31)</f>
        <v>903.18000000000006</v>
      </c>
      <c r="I32" s="679"/>
      <c r="J32" s="679"/>
      <c r="K32" s="679"/>
      <c r="L32" s="679"/>
      <c r="M32" s="679"/>
      <c r="N32" s="679"/>
      <c r="O32" s="679"/>
      <c r="P32" s="679"/>
      <c r="Q32" s="679"/>
      <c r="R32" s="679"/>
      <c r="S32" s="679"/>
      <c r="T32" s="679"/>
      <c r="U32" s="679"/>
      <c r="V32" s="679"/>
      <c r="W32" s="679"/>
      <c r="X32" s="679"/>
      <c r="Y32" s="679"/>
      <c r="Z32" s="679"/>
      <c r="AA32" s="679"/>
      <c r="AB32" s="679"/>
      <c r="AC32" s="679"/>
      <c r="AD32" s="679"/>
      <c r="AE32" s="679"/>
      <c r="AF32" s="680"/>
      <c r="AG32" s="56"/>
      <c r="AH32" s="53"/>
    </row>
    <row r="33" spans="3:37" ht="15" customHeight="1">
      <c r="C33" s="53"/>
      <c r="D33" s="53"/>
      <c r="E33" s="53"/>
      <c r="F33" s="53"/>
      <c r="G33" s="74"/>
      <c r="H33" s="683"/>
      <c r="I33" s="683"/>
      <c r="J33" s="451"/>
      <c r="K33" s="451"/>
      <c r="L33" s="451"/>
      <c r="M33" s="451"/>
      <c r="N33" s="451"/>
      <c r="O33" s="451"/>
      <c r="P33" s="451"/>
      <c r="Q33" s="451"/>
      <c r="R33" s="683"/>
      <c r="S33" s="683"/>
      <c r="T33" s="451"/>
      <c r="U33" s="274"/>
      <c r="V33" s="683"/>
      <c r="W33" s="683"/>
      <c r="X33" s="681"/>
      <c r="Y33" s="681"/>
      <c r="Z33" s="681"/>
      <c r="AA33" s="681"/>
      <c r="AB33" s="681"/>
      <c r="AC33" s="681"/>
      <c r="AD33" s="450"/>
      <c r="AE33" s="450"/>
      <c r="AF33" s="450"/>
      <c r="AG33" s="56"/>
      <c r="AH33" s="53"/>
    </row>
    <row r="34" spans="3:37" ht="15.95">
      <c r="C34" s="53"/>
      <c r="D34" s="53"/>
      <c r="E34" s="53"/>
      <c r="F34" s="53"/>
      <c r="G34" s="62"/>
      <c r="H34" s="53"/>
      <c r="I34" s="56"/>
      <c r="J34" s="56"/>
      <c r="K34" s="56"/>
      <c r="L34" s="56"/>
      <c r="M34" s="56"/>
      <c r="N34" s="56"/>
      <c r="O34" s="56"/>
      <c r="P34" s="56"/>
      <c r="Q34" s="53"/>
      <c r="R34" s="56"/>
      <c r="S34" s="56"/>
      <c r="T34" s="56"/>
      <c r="U34" s="53"/>
      <c r="V34" s="56"/>
      <c r="W34" s="53"/>
    </row>
    <row r="35" spans="3:37" ht="15.95">
      <c r="C35" s="53"/>
      <c r="D35" s="53"/>
      <c r="E35" s="53"/>
      <c r="F35" s="53"/>
      <c r="G35" s="62"/>
      <c r="H35" s="53"/>
      <c r="I35" s="56"/>
      <c r="J35" s="56"/>
      <c r="K35" s="56"/>
      <c r="L35" s="56"/>
      <c r="M35" s="56"/>
      <c r="N35" s="56"/>
      <c r="O35" s="56"/>
      <c r="P35" s="56"/>
      <c r="Q35" s="53"/>
      <c r="R35" s="56"/>
      <c r="S35" s="56"/>
      <c r="T35" s="56"/>
      <c r="U35" s="53"/>
      <c r="V35" s="56"/>
      <c r="W35" s="53"/>
    </row>
    <row r="36" spans="3:37" ht="15.95">
      <c r="C36" s="53"/>
      <c r="D36" s="53"/>
      <c r="E36" s="53"/>
      <c r="F36" s="53"/>
      <c r="G36" s="62"/>
      <c r="H36" s="688"/>
      <c r="I36" s="688"/>
      <c r="J36" s="688"/>
      <c r="K36" s="688"/>
      <c r="L36" s="688"/>
      <c r="M36" s="688"/>
      <c r="N36" s="451"/>
      <c r="O36" s="688"/>
      <c r="P36" s="688"/>
      <c r="Q36" s="688"/>
      <c r="R36" s="688"/>
      <c r="S36" s="688"/>
      <c r="T36" s="688"/>
      <c r="U36" s="688"/>
      <c r="V36" s="688"/>
      <c r="W36" s="53"/>
    </row>
    <row r="37" spans="3:37" ht="15.95">
      <c r="C37" s="53"/>
      <c r="D37" s="53"/>
      <c r="E37" s="53"/>
      <c r="F37" s="56"/>
      <c r="G37" s="62"/>
      <c r="H37" s="688"/>
      <c r="I37" s="688"/>
      <c r="J37" s="688"/>
      <c r="K37" s="688"/>
      <c r="L37" s="688"/>
      <c r="M37" s="688"/>
      <c r="N37" s="688"/>
      <c r="O37" s="688"/>
      <c r="P37" s="688"/>
      <c r="Q37" s="688"/>
      <c r="R37" s="688"/>
      <c r="S37" s="688"/>
      <c r="T37" s="688"/>
      <c r="U37" s="688"/>
      <c r="V37" s="688"/>
      <c r="W37" s="53"/>
    </row>
    <row r="38" spans="3:37" ht="18.95">
      <c r="C38" s="53"/>
      <c r="D38" s="53"/>
      <c r="E38" s="53"/>
      <c r="F38" s="53"/>
      <c r="G38" s="74"/>
      <c r="H38" s="696"/>
      <c r="I38" s="696"/>
      <c r="J38" s="696"/>
      <c r="K38" s="696"/>
      <c r="L38" s="696"/>
      <c r="M38" s="696"/>
      <c r="N38" s="696"/>
      <c r="O38" s="696"/>
      <c r="P38" s="696"/>
      <c r="Q38" s="696"/>
      <c r="R38" s="696"/>
      <c r="S38" s="696"/>
      <c r="T38" s="696"/>
      <c r="U38" s="696"/>
      <c r="V38" s="696"/>
      <c r="W38" s="56"/>
    </row>
    <row r="39" spans="3:37" ht="15.95">
      <c r="C39" s="53"/>
      <c r="D39" s="53"/>
      <c r="E39" s="53"/>
      <c r="F39" s="53"/>
      <c r="G39" s="450"/>
      <c r="H39" s="274"/>
      <c r="I39" s="274"/>
      <c r="J39" s="451"/>
      <c r="K39" s="451"/>
      <c r="L39" s="274"/>
      <c r="M39" s="274"/>
      <c r="N39" s="274"/>
      <c r="O39" s="274"/>
      <c r="P39" s="274"/>
      <c r="Q39" s="681"/>
      <c r="R39" s="681"/>
      <c r="S39" s="681"/>
      <c r="T39" s="681"/>
      <c r="U39" s="681"/>
      <c r="V39" s="681"/>
      <c r="W39" s="53"/>
    </row>
    <row r="40" spans="3:37" ht="15.95">
      <c r="C40" s="53"/>
      <c r="D40" s="53"/>
      <c r="E40" s="53"/>
      <c r="F40" s="53"/>
      <c r="G40" s="53"/>
      <c r="H40" s="274"/>
      <c r="I40" s="274"/>
      <c r="J40" s="274"/>
      <c r="K40" s="274"/>
      <c r="L40" s="274"/>
      <c r="M40" s="274"/>
      <c r="N40" s="274"/>
      <c r="O40" s="305"/>
      <c r="P40" s="305"/>
      <c r="Q40" s="305"/>
      <c r="R40" s="53"/>
      <c r="S40" s="53"/>
      <c r="T40" s="53"/>
      <c r="U40" s="53"/>
      <c r="V40" s="53"/>
      <c r="W40" s="53"/>
    </row>
    <row r="41" spans="3:37" ht="15.95" customHeight="1">
      <c r="C41" s="53"/>
      <c r="D41" s="53"/>
      <c r="E41" s="53"/>
    </row>
    <row r="42" spans="3:37" ht="15.95">
      <c r="C42" s="53"/>
      <c r="D42" s="53"/>
      <c r="E42" s="53"/>
    </row>
    <row r="48" spans="3:37" ht="15.75" customHeight="1">
      <c r="C48" s="691"/>
      <c r="D48" s="691"/>
      <c r="E48" s="456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694"/>
      <c r="AB48" s="694"/>
      <c r="AC48" s="694"/>
      <c r="AD48" s="694"/>
      <c r="AE48" s="694"/>
      <c r="AF48" s="694"/>
      <c r="AG48" s="459"/>
      <c r="AH48" s="53"/>
      <c r="AI48" s="695"/>
      <c r="AJ48" s="695"/>
      <c r="AK48" s="695"/>
    </row>
    <row r="49" spans="3:36" ht="15.75" customHeight="1">
      <c r="C49" s="304"/>
      <c r="D49" s="56"/>
      <c r="E49" s="458"/>
      <c r="F49" s="692"/>
      <c r="G49" s="692"/>
      <c r="H49" s="693"/>
      <c r="I49" s="693"/>
      <c r="J49" s="693"/>
      <c r="K49" s="693"/>
      <c r="L49" s="693"/>
      <c r="M49" s="693"/>
      <c r="N49" s="693"/>
      <c r="O49" s="693"/>
      <c r="P49" s="693"/>
      <c r="Q49" s="693"/>
      <c r="R49" s="693"/>
      <c r="S49" s="693"/>
      <c r="T49" s="458"/>
      <c r="U49" s="458"/>
      <c r="V49" s="693"/>
      <c r="W49" s="693"/>
      <c r="X49" s="693"/>
      <c r="Y49" s="693"/>
      <c r="Z49" s="693"/>
      <c r="AA49" s="693"/>
      <c r="AB49" s="693"/>
      <c r="AC49" s="693"/>
      <c r="AD49" s="458"/>
      <c r="AE49" s="693"/>
      <c r="AF49" s="693"/>
      <c r="AG49" s="458"/>
      <c r="AH49" s="53"/>
      <c r="AI49" s="304"/>
      <c r="AJ49" s="53"/>
    </row>
    <row r="50" spans="3:36" ht="15.75" customHeight="1">
      <c r="C50" s="304"/>
      <c r="D50" s="56"/>
      <c r="E50" s="56"/>
      <c r="F50" s="457"/>
      <c r="G50" s="457"/>
      <c r="H50" s="460"/>
      <c r="I50" s="460"/>
      <c r="J50" s="460"/>
      <c r="K50" s="460"/>
      <c r="L50" s="460"/>
      <c r="M50" s="460"/>
      <c r="N50" s="460"/>
      <c r="O50" s="460"/>
      <c r="P50" s="460"/>
      <c r="Q50" s="460"/>
      <c r="R50" s="460"/>
      <c r="S50" s="460"/>
      <c r="T50" s="460"/>
      <c r="U50" s="460"/>
      <c r="V50" s="460"/>
      <c r="W50" s="460"/>
      <c r="X50" s="460"/>
      <c r="Y50" s="460"/>
      <c r="Z50" s="460"/>
      <c r="AA50" s="460"/>
      <c r="AB50" s="460"/>
      <c r="AC50" s="460"/>
      <c r="AD50" s="460"/>
      <c r="AE50" s="460"/>
      <c r="AF50" s="460"/>
      <c r="AG50" s="460"/>
      <c r="AH50" s="53"/>
      <c r="AI50" s="304"/>
      <c r="AJ50" s="53"/>
    </row>
    <row r="51" spans="3:36" ht="15.75" customHeight="1">
      <c r="C51" s="304"/>
      <c r="D51" s="56"/>
      <c r="E51" s="56"/>
      <c r="F51" s="56"/>
      <c r="G51" s="62"/>
      <c r="H51" s="53"/>
      <c r="I51" s="56"/>
      <c r="J51" s="56"/>
      <c r="K51" s="56"/>
      <c r="L51" s="53"/>
      <c r="M51" s="56"/>
      <c r="N51" s="53"/>
      <c r="O51" s="56"/>
      <c r="P51" s="53"/>
      <c r="Q51" s="56"/>
      <c r="R51" s="56"/>
      <c r="S51" s="56"/>
      <c r="T51" s="56"/>
      <c r="U51" s="56"/>
      <c r="V51" s="56"/>
      <c r="W51" s="56"/>
      <c r="X51" s="53"/>
      <c r="Y51" s="56"/>
      <c r="Z51" s="56"/>
      <c r="AA51" s="56"/>
      <c r="AB51" s="53"/>
      <c r="AC51" s="56"/>
      <c r="AD51" s="56"/>
      <c r="AE51" s="56"/>
      <c r="AF51" s="56"/>
      <c r="AG51" s="56"/>
      <c r="AH51" s="53"/>
      <c r="AI51" s="304"/>
      <c r="AJ51" s="53"/>
    </row>
    <row r="52" spans="3:36" ht="15.75" customHeight="1">
      <c r="C52" s="304"/>
      <c r="D52" s="56"/>
      <c r="E52" s="56"/>
      <c r="F52" s="56"/>
      <c r="G52" s="62"/>
      <c r="H52" s="53"/>
      <c r="I52" s="56"/>
      <c r="J52" s="56"/>
      <c r="K52" s="56"/>
      <c r="L52" s="53"/>
      <c r="M52" s="56"/>
      <c r="N52" s="53"/>
      <c r="O52" s="56"/>
      <c r="P52" s="56"/>
      <c r="Q52" s="56"/>
      <c r="R52" s="56"/>
      <c r="S52" s="56"/>
      <c r="T52" s="56"/>
      <c r="U52" s="56"/>
      <c r="V52" s="56"/>
      <c r="W52" s="56"/>
      <c r="X52" s="53"/>
      <c r="Y52" s="56"/>
      <c r="Z52" s="56"/>
      <c r="AA52" s="56"/>
      <c r="AB52" s="53"/>
      <c r="AC52" s="56"/>
      <c r="AD52" s="56"/>
      <c r="AE52" s="56"/>
      <c r="AF52" s="56"/>
      <c r="AG52" s="56"/>
      <c r="AH52" s="53"/>
      <c r="AI52" s="304"/>
      <c r="AJ52" s="53"/>
    </row>
    <row r="53" spans="3:36" ht="15.75" customHeight="1">
      <c r="C53" s="53"/>
      <c r="D53" s="77"/>
      <c r="E53" s="56"/>
      <c r="F53" s="56"/>
      <c r="G53" s="62"/>
      <c r="H53" s="53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3"/>
      <c r="Y53" s="56"/>
      <c r="Z53" s="56"/>
      <c r="AA53" s="56"/>
      <c r="AB53" s="53"/>
      <c r="AC53" s="56"/>
      <c r="AD53" s="56"/>
      <c r="AE53" s="56"/>
      <c r="AF53" s="56"/>
      <c r="AG53" s="56"/>
      <c r="AH53" s="53"/>
      <c r="AI53" s="304"/>
      <c r="AJ53" s="53"/>
    </row>
    <row r="54" spans="3:36" ht="15.75" customHeight="1">
      <c r="C54" s="53"/>
      <c r="D54" s="56"/>
      <c r="E54" s="56"/>
      <c r="F54" s="56"/>
      <c r="G54" s="62"/>
      <c r="H54" s="53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3"/>
      <c r="Y54" s="56"/>
      <c r="Z54" s="56"/>
      <c r="AA54" s="56"/>
      <c r="AB54" s="53"/>
      <c r="AC54" s="56"/>
      <c r="AD54" s="56"/>
      <c r="AE54" s="56"/>
      <c r="AF54" s="56"/>
      <c r="AG54" s="56"/>
      <c r="AH54" s="53"/>
      <c r="AI54" s="304"/>
    </row>
    <row r="55" spans="3:36" ht="15.75" customHeight="1">
      <c r="C55" s="697"/>
      <c r="D55" s="697"/>
      <c r="E55" s="56"/>
      <c r="F55" s="56"/>
      <c r="G55" s="62"/>
      <c r="H55" s="53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3"/>
      <c r="Y55" s="56"/>
      <c r="Z55" s="56"/>
      <c r="AA55" s="56"/>
      <c r="AB55" s="53"/>
      <c r="AC55" s="56"/>
      <c r="AD55" s="56"/>
      <c r="AE55" s="56"/>
      <c r="AF55" s="56"/>
      <c r="AG55" s="56"/>
      <c r="AH55" s="53"/>
      <c r="AI55" s="304"/>
    </row>
    <row r="56" spans="3:36" ht="15.75" customHeight="1">
      <c r="C56" s="53"/>
      <c r="D56" s="56"/>
      <c r="E56" s="458"/>
      <c r="F56" s="56"/>
      <c r="G56" s="62"/>
      <c r="H56" s="53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3"/>
      <c r="Y56" s="56"/>
      <c r="Z56" s="56"/>
      <c r="AA56" s="56"/>
      <c r="AB56" s="53"/>
      <c r="AC56" s="56"/>
      <c r="AD56" s="56"/>
      <c r="AE56" s="56"/>
      <c r="AF56" s="56"/>
      <c r="AG56" s="56"/>
      <c r="AH56" s="53"/>
      <c r="AI56" s="304"/>
    </row>
    <row r="57" spans="3:36" ht="15.75" customHeight="1">
      <c r="C57" s="53"/>
      <c r="D57" s="56"/>
      <c r="E57" s="77"/>
      <c r="F57" s="56"/>
      <c r="G57" s="76"/>
      <c r="H57" s="53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3"/>
      <c r="Y57" s="56"/>
      <c r="Z57" s="56"/>
      <c r="AA57" s="56"/>
      <c r="AB57" s="53"/>
      <c r="AC57" s="56"/>
      <c r="AD57" s="56"/>
      <c r="AE57" s="56"/>
      <c r="AF57" s="56"/>
      <c r="AG57" s="56"/>
      <c r="AH57" s="53"/>
      <c r="AI57" s="304"/>
      <c r="AJ57" s="53"/>
    </row>
    <row r="58" spans="3:36" ht="15.75" customHeight="1">
      <c r="C58" s="53"/>
      <c r="D58" s="56"/>
      <c r="E58" s="77"/>
      <c r="F58" s="77"/>
      <c r="G58" s="76"/>
      <c r="H58" s="53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3"/>
      <c r="Y58" s="56"/>
      <c r="Z58" s="56"/>
      <c r="AA58" s="56"/>
      <c r="AB58" s="53"/>
      <c r="AC58" s="56"/>
      <c r="AD58" s="56"/>
      <c r="AE58" s="56"/>
      <c r="AF58" s="56"/>
      <c r="AG58" s="56"/>
      <c r="AH58" s="53"/>
      <c r="AI58" s="304"/>
    </row>
    <row r="59" spans="3:36" ht="15.75" customHeight="1">
      <c r="C59" s="53"/>
      <c r="D59" s="56"/>
      <c r="E59" s="77"/>
      <c r="F59" s="77"/>
      <c r="G59" s="76"/>
      <c r="H59" s="53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3"/>
      <c r="Y59" s="56"/>
      <c r="Z59" s="56"/>
      <c r="AA59" s="56"/>
      <c r="AB59" s="53"/>
      <c r="AC59" s="56"/>
      <c r="AD59" s="56"/>
      <c r="AE59" s="56"/>
      <c r="AF59" s="56"/>
      <c r="AG59" s="56"/>
      <c r="AH59" s="53"/>
      <c r="AI59" s="304"/>
    </row>
    <row r="60" spans="3:36" ht="15.75" customHeight="1">
      <c r="C60" s="53"/>
      <c r="D60" s="56"/>
      <c r="E60" s="77"/>
      <c r="F60" s="56"/>
      <c r="G60" s="62"/>
      <c r="H60" s="53"/>
      <c r="I60" s="56"/>
      <c r="J60" s="56"/>
      <c r="K60" s="56"/>
      <c r="L60" s="56"/>
      <c r="M60" s="56"/>
      <c r="N60" s="56"/>
      <c r="O60" s="56"/>
      <c r="P60" s="53"/>
      <c r="Q60" s="56"/>
      <c r="R60" s="56"/>
      <c r="S60" s="56"/>
      <c r="T60" s="56"/>
      <c r="U60" s="56"/>
      <c r="V60" s="56"/>
      <c r="W60" s="56"/>
      <c r="X60" s="53"/>
      <c r="Y60" s="56"/>
      <c r="Z60" s="56"/>
      <c r="AA60" s="56"/>
      <c r="AB60" s="53"/>
      <c r="AC60" s="56"/>
      <c r="AD60" s="56"/>
      <c r="AE60" s="56"/>
      <c r="AF60" s="56"/>
      <c r="AG60" s="56"/>
      <c r="AH60" s="53"/>
      <c r="AI60" s="304"/>
      <c r="AJ60" s="53"/>
    </row>
    <row r="61" spans="3:36" ht="15.75" customHeight="1">
      <c r="C61" s="53"/>
      <c r="D61" s="56"/>
      <c r="E61" s="56"/>
      <c r="F61" s="458"/>
      <c r="G61" s="80"/>
      <c r="H61" s="53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3"/>
      <c r="Y61" s="56"/>
      <c r="Z61" s="56"/>
      <c r="AA61" s="56"/>
      <c r="AB61" s="53"/>
      <c r="AC61" s="56"/>
      <c r="AD61" s="56"/>
      <c r="AE61" s="56"/>
      <c r="AF61" s="56"/>
      <c r="AG61" s="56"/>
      <c r="AH61" s="53"/>
      <c r="AI61" s="304"/>
    </row>
    <row r="62" spans="3:36" ht="15.75" customHeight="1">
      <c r="C62" s="53"/>
      <c r="D62" s="56"/>
      <c r="E62" s="458"/>
      <c r="F62" s="77"/>
      <c r="G62" s="76"/>
      <c r="H62" s="53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3"/>
      <c r="Y62" s="56"/>
      <c r="Z62" s="56"/>
      <c r="AA62" s="56"/>
      <c r="AB62" s="53"/>
      <c r="AC62" s="76"/>
      <c r="AD62" s="76"/>
      <c r="AE62" s="76"/>
      <c r="AF62" s="76"/>
      <c r="AG62" s="76"/>
      <c r="AH62" s="53"/>
      <c r="AI62" s="304"/>
    </row>
    <row r="63" spans="3:36" ht="15.75" customHeight="1">
      <c r="C63" s="53"/>
      <c r="D63" s="56"/>
      <c r="E63" s="77"/>
      <c r="F63" s="77"/>
      <c r="G63" s="76"/>
      <c r="H63" s="53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3"/>
      <c r="Y63" s="56"/>
      <c r="Z63" s="56"/>
      <c r="AA63" s="56"/>
      <c r="AB63" s="53"/>
      <c r="AC63" s="56"/>
      <c r="AD63" s="56"/>
      <c r="AE63" s="56"/>
      <c r="AF63" s="56"/>
      <c r="AG63" s="56"/>
      <c r="AH63" s="53"/>
      <c r="AI63" s="53"/>
    </row>
    <row r="64" spans="3:36" ht="15.75" customHeight="1">
      <c r="D64" s="6"/>
      <c r="E64" s="77"/>
      <c r="F64" s="77"/>
      <c r="G64" s="76"/>
      <c r="H64" s="53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3"/>
      <c r="Y64" s="56"/>
      <c r="Z64" s="56"/>
      <c r="AA64" s="56"/>
      <c r="AB64" s="53"/>
      <c r="AC64" s="56"/>
      <c r="AD64" s="56"/>
      <c r="AE64" s="56"/>
      <c r="AF64" s="56"/>
      <c r="AG64" s="56"/>
      <c r="AH64" s="53"/>
      <c r="AI64" s="53"/>
    </row>
    <row r="65" spans="3:37" ht="15.75" customHeight="1">
      <c r="C65" s="53"/>
      <c r="D65" s="53"/>
      <c r="E65" s="77"/>
      <c r="F65" s="77"/>
      <c r="G65" s="76"/>
      <c r="H65" s="53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3"/>
      <c r="Y65" s="56"/>
      <c r="Z65" s="56"/>
      <c r="AA65" s="56"/>
      <c r="AB65" s="53"/>
      <c r="AC65" s="56"/>
      <c r="AD65" s="56"/>
      <c r="AE65" s="56"/>
      <c r="AF65" s="56"/>
      <c r="AG65" s="56"/>
      <c r="AH65" s="53"/>
      <c r="AI65" s="53"/>
    </row>
    <row r="66" spans="3:37" ht="15.75" customHeight="1">
      <c r="C66" s="53"/>
      <c r="D66" s="53"/>
      <c r="E66" s="77"/>
      <c r="F66" s="53"/>
      <c r="G66" s="74"/>
      <c r="H66" s="53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3"/>
      <c r="Y66" s="56"/>
      <c r="Z66" s="56"/>
      <c r="AA66" s="56"/>
      <c r="AB66" s="53"/>
      <c r="AC66" s="56"/>
      <c r="AD66" s="56"/>
      <c r="AE66" s="56"/>
      <c r="AF66" s="56"/>
      <c r="AG66" s="56"/>
      <c r="AH66" s="53"/>
      <c r="AI66" s="53"/>
      <c r="AK66" s="112"/>
    </row>
    <row r="67" spans="3:37" ht="15.75" customHeight="1">
      <c r="C67" s="53"/>
      <c r="D67" s="53"/>
      <c r="E67" s="77"/>
      <c r="F67" s="53"/>
      <c r="G67" s="74"/>
      <c r="H67" s="53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3"/>
      <c r="Y67" s="56"/>
      <c r="Z67" s="56"/>
      <c r="AA67" s="56"/>
      <c r="AB67" s="53"/>
      <c r="AC67" s="56"/>
      <c r="AD67" s="56"/>
      <c r="AE67" s="56"/>
      <c r="AF67" s="56"/>
      <c r="AG67" s="56"/>
      <c r="AH67" s="53"/>
      <c r="AI67" s="53"/>
      <c r="AK67" s="112"/>
    </row>
    <row r="68" spans="3:37" ht="15.75" customHeight="1">
      <c r="C68" s="53"/>
      <c r="D68" s="53"/>
      <c r="E68" s="77"/>
      <c r="F68" s="53"/>
      <c r="G68" s="74"/>
      <c r="H68" s="53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3"/>
      <c r="Y68" s="56"/>
      <c r="Z68" s="56"/>
      <c r="AA68" s="56"/>
      <c r="AB68" s="53"/>
      <c r="AC68" s="56"/>
      <c r="AD68" s="56"/>
      <c r="AE68" s="56"/>
      <c r="AF68" s="56"/>
      <c r="AG68" s="56"/>
      <c r="AH68" s="53"/>
      <c r="AI68" s="53"/>
      <c r="AK68" s="112"/>
    </row>
    <row r="69" spans="3:37" ht="15.75" customHeight="1">
      <c r="C69" s="53"/>
      <c r="D69" s="53"/>
      <c r="E69" s="53"/>
      <c r="F69" s="53"/>
      <c r="G69" s="74"/>
      <c r="H69" s="53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3"/>
      <c r="Y69" s="56"/>
      <c r="Z69" s="56"/>
      <c r="AA69" s="56"/>
      <c r="AB69" s="53"/>
      <c r="AC69" s="56"/>
      <c r="AD69" s="56"/>
      <c r="AE69" s="56"/>
      <c r="AF69" s="56"/>
      <c r="AG69" s="56"/>
      <c r="AH69" s="53"/>
      <c r="AI69" s="53"/>
      <c r="AK69" s="112"/>
    </row>
    <row r="70" spans="3:37" ht="15.75" customHeight="1">
      <c r="C70" s="53"/>
      <c r="D70" s="53"/>
      <c r="E70" s="53"/>
      <c r="F70" s="53"/>
      <c r="G70" s="62"/>
      <c r="H70" s="53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3"/>
      <c r="Y70" s="56"/>
      <c r="Z70" s="56"/>
      <c r="AA70" s="56"/>
      <c r="AB70" s="53"/>
      <c r="AC70" s="56"/>
      <c r="AD70" s="56"/>
      <c r="AE70" s="56"/>
      <c r="AF70" s="56"/>
      <c r="AG70" s="56"/>
      <c r="AH70" s="53"/>
      <c r="AI70" s="53"/>
      <c r="AK70" s="112"/>
    </row>
    <row r="71" spans="3:37" ht="15.75" customHeight="1">
      <c r="C71" s="53"/>
      <c r="D71" s="53"/>
      <c r="E71" s="53"/>
      <c r="F71" s="53"/>
      <c r="G71" s="62"/>
      <c r="H71" s="53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3"/>
      <c r="Y71" s="56"/>
      <c r="Z71" s="56"/>
      <c r="AA71" s="56"/>
      <c r="AB71" s="53"/>
      <c r="AC71" s="56"/>
      <c r="AD71" s="56"/>
      <c r="AE71" s="56"/>
      <c r="AF71" s="56"/>
      <c r="AG71" s="56"/>
      <c r="AH71" s="53"/>
      <c r="AI71" s="53"/>
      <c r="AK71" s="112"/>
    </row>
    <row r="72" spans="3:37" ht="15.75" customHeight="1">
      <c r="C72" s="53"/>
      <c r="D72" s="53"/>
      <c r="E72" s="53"/>
      <c r="F72" s="53"/>
      <c r="G72" s="62"/>
      <c r="H72" s="53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3"/>
      <c r="Y72" s="56"/>
      <c r="Z72" s="56"/>
      <c r="AA72" s="56"/>
      <c r="AB72" s="53"/>
      <c r="AC72" s="56"/>
      <c r="AD72" s="56"/>
      <c r="AE72" s="56"/>
      <c r="AF72" s="56"/>
      <c r="AG72" s="56"/>
      <c r="AH72" s="53"/>
      <c r="AI72" s="53"/>
    </row>
    <row r="73" spans="3:37" ht="15.75" customHeight="1">
      <c r="C73" s="53"/>
      <c r="D73" s="53"/>
      <c r="E73" s="53"/>
      <c r="F73" s="53"/>
      <c r="G73" s="62"/>
      <c r="H73" s="53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3"/>
      <c r="Y73" s="56"/>
      <c r="Z73" s="56"/>
      <c r="AA73" s="56"/>
      <c r="AB73" s="53"/>
      <c r="AC73" s="56"/>
      <c r="AD73" s="56"/>
      <c r="AE73" s="56"/>
      <c r="AF73" s="56"/>
      <c r="AG73" s="56"/>
      <c r="AH73" s="53"/>
      <c r="AI73" s="53"/>
    </row>
    <row r="74" spans="3:37" ht="15.75" customHeight="1">
      <c r="C74" s="53"/>
      <c r="D74" s="53"/>
      <c r="E74" s="53"/>
      <c r="F74" s="53"/>
      <c r="G74" s="62"/>
      <c r="H74" s="688"/>
      <c r="I74" s="688"/>
      <c r="J74" s="688"/>
      <c r="K74" s="688"/>
      <c r="L74" s="688"/>
      <c r="M74" s="688"/>
      <c r="N74" s="688"/>
      <c r="O74" s="688"/>
      <c r="P74" s="688"/>
      <c r="Q74" s="688"/>
      <c r="R74" s="688"/>
      <c r="S74" s="688"/>
      <c r="T74" s="453"/>
      <c r="U74" s="451"/>
      <c r="V74" s="688"/>
      <c r="W74" s="688"/>
      <c r="X74" s="688"/>
      <c r="Y74" s="688"/>
      <c r="Z74" s="688"/>
      <c r="AA74" s="688"/>
      <c r="AB74" s="688"/>
      <c r="AC74" s="688"/>
      <c r="AD74" s="453"/>
      <c r="AE74" s="688"/>
      <c r="AF74" s="688"/>
      <c r="AG74" s="56"/>
      <c r="AH74" s="53"/>
      <c r="AI74" s="53"/>
    </row>
    <row r="75" spans="3:37" ht="15.75" customHeight="1">
      <c r="C75" s="53"/>
      <c r="D75" s="53"/>
      <c r="E75" s="53"/>
      <c r="F75" s="53"/>
      <c r="G75" s="62"/>
      <c r="H75" s="689"/>
      <c r="I75" s="689"/>
      <c r="J75" s="689"/>
      <c r="K75" s="689"/>
      <c r="L75" s="689"/>
      <c r="M75" s="689"/>
      <c r="N75" s="689"/>
      <c r="O75" s="689"/>
      <c r="P75" s="689"/>
      <c r="Q75" s="689"/>
      <c r="R75" s="689"/>
      <c r="S75" s="689"/>
      <c r="T75" s="689"/>
      <c r="U75" s="689"/>
      <c r="V75" s="689"/>
      <c r="W75" s="689"/>
      <c r="X75" s="689"/>
      <c r="Y75" s="689"/>
      <c r="Z75" s="689"/>
      <c r="AA75" s="689"/>
      <c r="AB75" s="689"/>
      <c r="AC75" s="689"/>
      <c r="AD75" s="689"/>
      <c r="AE75" s="689"/>
      <c r="AF75" s="689"/>
      <c r="AG75" s="56"/>
      <c r="AH75" s="53"/>
      <c r="AI75" s="56"/>
    </row>
    <row r="76" spans="3:37" ht="15.75" customHeight="1">
      <c r="C76" s="53"/>
      <c r="D76" s="53"/>
      <c r="E76" s="53"/>
      <c r="F76" s="56"/>
      <c r="G76" s="62"/>
      <c r="H76" s="690"/>
      <c r="I76" s="690"/>
      <c r="J76" s="690"/>
      <c r="K76" s="690"/>
      <c r="L76" s="690"/>
      <c r="M76" s="690"/>
      <c r="N76" s="690"/>
      <c r="O76" s="690"/>
      <c r="P76" s="690"/>
      <c r="Q76" s="690"/>
      <c r="R76" s="690"/>
      <c r="S76" s="690"/>
      <c r="T76" s="690"/>
      <c r="U76" s="690"/>
      <c r="V76" s="690"/>
      <c r="W76" s="690"/>
      <c r="X76" s="690"/>
      <c r="Y76" s="690"/>
      <c r="Z76" s="690"/>
      <c r="AA76" s="690"/>
      <c r="AB76" s="690"/>
      <c r="AC76" s="690"/>
      <c r="AD76" s="690"/>
      <c r="AE76" s="690"/>
      <c r="AF76" s="690"/>
      <c r="AG76" s="56"/>
      <c r="AH76" s="53"/>
    </row>
    <row r="77" spans="3:37" ht="15.75" customHeight="1">
      <c r="C77" s="53"/>
      <c r="D77" s="53"/>
      <c r="E77" s="53"/>
      <c r="F77" s="53"/>
      <c r="G77" s="74"/>
      <c r="H77" s="683"/>
      <c r="I77" s="683"/>
      <c r="J77" s="451"/>
      <c r="K77" s="451"/>
      <c r="L77" s="451"/>
      <c r="M77" s="451"/>
      <c r="N77" s="451"/>
      <c r="O77" s="451"/>
      <c r="P77" s="451"/>
      <c r="Q77" s="451"/>
      <c r="R77" s="683"/>
      <c r="S77" s="683"/>
      <c r="T77" s="451"/>
      <c r="U77" s="274"/>
      <c r="V77" s="683"/>
      <c r="W77" s="683"/>
      <c r="X77" s="681"/>
      <c r="Y77" s="681"/>
      <c r="Z77" s="681"/>
      <c r="AA77" s="681"/>
      <c r="AB77" s="681"/>
      <c r="AC77" s="681"/>
      <c r="AD77" s="450"/>
      <c r="AE77" s="450"/>
      <c r="AF77" s="450"/>
      <c r="AG77" s="56"/>
      <c r="AH77" s="53"/>
    </row>
  </sheetData>
  <mergeCells count="85">
    <mergeCell ref="C11:D11"/>
    <mergeCell ref="C4:D4"/>
    <mergeCell ref="F5:G5"/>
    <mergeCell ref="J30:K30"/>
    <mergeCell ref="L30:M30"/>
    <mergeCell ref="S36:T36"/>
    <mergeCell ref="U36:V36"/>
    <mergeCell ref="V30:W30"/>
    <mergeCell ref="H32:AF32"/>
    <mergeCell ref="H33:I33"/>
    <mergeCell ref="R33:S33"/>
    <mergeCell ref="V33:W33"/>
    <mergeCell ref="X33:Y33"/>
    <mergeCell ref="Z33:AA33"/>
    <mergeCell ref="AB33:AC33"/>
    <mergeCell ref="H36:I36"/>
    <mergeCell ref="J36:K36"/>
    <mergeCell ref="L36:M36"/>
    <mergeCell ref="O36:P36"/>
    <mergeCell ref="Q36:R36"/>
    <mergeCell ref="X30:Y30"/>
    <mergeCell ref="AI48:AK48"/>
    <mergeCell ref="H37:N37"/>
    <mergeCell ref="O37:V37"/>
    <mergeCell ref="H38:V38"/>
    <mergeCell ref="Q39:R39"/>
    <mergeCell ref="S39:T39"/>
    <mergeCell ref="U39:V39"/>
    <mergeCell ref="C48:D48"/>
    <mergeCell ref="F49:G49"/>
    <mergeCell ref="H49:I49"/>
    <mergeCell ref="J49:K49"/>
    <mergeCell ref="L49:M49"/>
    <mergeCell ref="F48:AF48"/>
    <mergeCell ref="AB49:AC49"/>
    <mergeCell ref="AE49:AF49"/>
    <mergeCell ref="N49:O49"/>
    <mergeCell ref="P49:Q49"/>
    <mergeCell ref="V49:W49"/>
    <mergeCell ref="X49:Y49"/>
    <mergeCell ref="Z49:AA49"/>
    <mergeCell ref="H74:I74"/>
    <mergeCell ref="J74:K74"/>
    <mergeCell ref="L74:M74"/>
    <mergeCell ref="N74:O74"/>
    <mergeCell ref="P74:Q74"/>
    <mergeCell ref="H77:I77"/>
    <mergeCell ref="V77:W77"/>
    <mergeCell ref="X77:Y77"/>
    <mergeCell ref="Z77:AA77"/>
    <mergeCell ref="H75:U75"/>
    <mergeCell ref="V75:AF75"/>
    <mergeCell ref="H76:AF76"/>
    <mergeCell ref="R77:S77"/>
    <mergeCell ref="AB77:AC77"/>
    <mergeCell ref="R74:S74"/>
    <mergeCell ref="AB74:AC74"/>
    <mergeCell ref="AE74:AF74"/>
    <mergeCell ref="V74:W74"/>
    <mergeCell ref="X74:Y74"/>
    <mergeCell ref="Z74:AA74"/>
    <mergeCell ref="C55:D55"/>
    <mergeCell ref="F4:AF4"/>
    <mergeCell ref="AI4:AK4"/>
    <mergeCell ref="H5:I5"/>
    <mergeCell ref="J5:K5"/>
    <mergeCell ref="L5:M5"/>
    <mergeCell ref="N5:O5"/>
    <mergeCell ref="P5:Q5"/>
    <mergeCell ref="R5:S5"/>
    <mergeCell ref="V5:W5"/>
    <mergeCell ref="X5:Y5"/>
    <mergeCell ref="Z5:AA5"/>
    <mergeCell ref="AB5:AC5"/>
    <mergeCell ref="AE5:AF5"/>
    <mergeCell ref="H30:I30"/>
    <mergeCell ref="R49:S49"/>
    <mergeCell ref="Z30:AA30"/>
    <mergeCell ref="AB30:AC30"/>
    <mergeCell ref="AE30:AF30"/>
    <mergeCell ref="H31:U31"/>
    <mergeCell ref="V31:AF31"/>
    <mergeCell ref="N30:O30"/>
    <mergeCell ref="P30:Q30"/>
    <mergeCell ref="R30:S30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BD84-A324-4BA8-ABE3-94D3EE675B4B}">
  <sheetPr>
    <tabColor rgb="FFD8E2F4"/>
  </sheetPr>
  <dimension ref="B3:AK73"/>
  <sheetViews>
    <sheetView topLeftCell="S4" zoomScale="75" zoomScaleNormal="35" workbookViewId="0">
      <selection activeCell="AB18" sqref="AB18"/>
    </sheetView>
  </sheetViews>
  <sheetFormatPr defaultColWidth="8.875" defaultRowHeight="15.95"/>
  <cols>
    <col min="2" max="2" width="21.125" customWidth="1"/>
    <col min="3" max="3" width="13.125" customWidth="1"/>
    <col min="4" max="4" width="9.875" bestFit="1" customWidth="1"/>
    <col min="5" max="5" width="20.375" customWidth="1"/>
    <col min="6" max="6" width="14.875" customWidth="1"/>
    <col min="7" max="7" width="19" customWidth="1"/>
    <col min="8" max="8" width="10.625" customWidth="1"/>
    <col min="9" max="9" width="9.625" customWidth="1"/>
    <col min="10" max="10" width="9" bestFit="1" customWidth="1"/>
    <col min="11" max="11" width="16.625" customWidth="1"/>
    <col min="12" max="12" width="8.875" customWidth="1"/>
    <col min="13" max="13" width="12.375" customWidth="1"/>
    <col min="14" max="14" width="12.625" customWidth="1"/>
    <col min="15" max="15" width="9" bestFit="1" customWidth="1"/>
    <col min="16" max="16" width="15.625" customWidth="1"/>
    <col min="17" max="17" width="23.625" customWidth="1"/>
    <col min="18" max="18" width="11" customWidth="1"/>
    <col min="19" max="19" width="11.375" customWidth="1"/>
    <col min="20" max="20" width="14.875" customWidth="1"/>
    <col min="21" max="21" width="28.5" customWidth="1"/>
    <col min="23" max="23" width="9" bestFit="1" customWidth="1"/>
    <col min="25" max="25" width="16.125" customWidth="1"/>
    <col min="26" max="26" width="11.125" customWidth="1"/>
    <col min="27" max="27" width="25" customWidth="1"/>
    <col min="28" max="28" width="9.875" customWidth="1"/>
    <col min="29" max="29" width="13.125" customWidth="1"/>
    <col min="30" max="30" width="9" bestFit="1" customWidth="1"/>
    <col min="35" max="35" width="69.875" customWidth="1"/>
  </cols>
  <sheetData>
    <row r="3" spans="2:36" ht="17.100000000000001" thickBot="1"/>
    <row r="4" spans="2:36" ht="21.75" customHeight="1">
      <c r="B4" s="436" t="s">
        <v>0</v>
      </c>
      <c r="C4" s="437"/>
      <c r="D4" s="456"/>
      <c r="E4" s="673" t="s">
        <v>432</v>
      </c>
      <c r="F4" s="674"/>
      <c r="G4" s="674"/>
      <c r="H4" s="674"/>
      <c r="I4" s="674"/>
      <c r="J4" s="674"/>
      <c r="K4" s="674"/>
      <c r="L4" s="674"/>
      <c r="M4" s="674"/>
      <c r="N4" s="674"/>
      <c r="O4" s="674"/>
      <c r="P4" s="674"/>
      <c r="Q4" s="674"/>
      <c r="R4" s="674"/>
      <c r="S4" s="674"/>
      <c r="T4" s="674"/>
      <c r="U4" s="674"/>
      <c r="V4" s="674"/>
      <c r="W4" s="674"/>
      <c r="X4" s="674"/>
      <c r="Y4" s="674"/>
      <c r="Z4" s="674"/>
      <c r="AA4" s="674"/>
      <c r="AB4" s="674"/>
      <c r="AC4" s="674"/>
      <c r="AD4" s="674"/>
      <c r="AE4" s="675"/>
      <c r="AF4" s="459"/>
      <c r="AG4" s="53"/>
      <c r="AH4" s="489" t="s">
        <v>333</v>
      </c>
      <c r="AI4" s="490"/>
      <c r="AJ4" s="491"/>
    </row>
    <row r="5" spans="2:36" ht="15" customHeight="1">
      <c r="B5" s="291" t="s">
        <v>1</v>
      </c>
      <c r="C5" s="288">
        <f>G31</f>
        <v>193.62</v>
      </c>
      <c r="D5" s="458"/>
      <c r="E5" s="703" t="s">
        <v>276</v>
      </c>
      <c r="F5" s="704"/>
      <c r="G5" s="705" t="s">
        <v>334</v>
      </c>
      <c r="H5" s="670"/>
      <c r="I5" s="669" t="s">
        <v>335</v>
      </c>
      <c r="J5" s="670"/>
      <c r="K5" s="669" t="s">
        <v>336</v>
      </c>
      <c r="L5" s="670"/>
      <c r="M5" s="669" t="s">
        <v>337</v>
      </c>
      <c r="N5" s="670"/>
      <c r="O5" s="669" t="s">
        <v>433</v>
      </c>
      <c r="P5" s="670"/>
      <c r="Q5" s="669" t="s">
        <v>339</v>
      </c>
      <c r="R5" s="670"/>
      <c r="S5" s="300" t="s">
        <v>340</v>
      </c>
      <c r="T5" s="452" t="s">
        <v>9</v>
      </c>
      <c r="U5" s="698" t="s">
        <v>159</v>
      </c>
      <c r="V5" s="699"/>
      <c r="W5" s="700" t="s">
        <v>11</v>
      </c>
      <c r="X5" s="699"/>
      <c r="Y5" s="700" t="s">
        <v>162</v>
      </c>
      <c r="Z5" s="699"/>
      <c r="AA5" s="700" t="s">
        <v>163</v>
      </c>
      <c r="AB5" s="701"/>
      <c r="AC5" s="295" t="s">
        <v>224</v>
      </c>
      <c r="AD5" s="702" t="s">
        <v>341</v>
      </c>
      <c r="AE5" s="701"/>
      <c r="AF5" s="458"/>
      <c r="AG5" s="53"/>
      <c r="AH5" s="281" t="s">
        <v>334</v>
      </c>
      <c r="AI5" s="284" t="s">
        <v>342</v>
      </c>
      <c r="AJ5" s="279"/>
    </row>
    <row r="6" spans="2:36">
      <c r="B6" s="292" t="s">
        <v>154</v>
      </c>
      <c r="C6" s="289">
        <f>U31</f>
        <v>585.21</v>
      </c>
      <c r="D6" s="56"/>
      <c r="E6" s="57" t="s">
        <v>6</v>
      </c>
      <c r="F6" s="58" t="s">
        <v>7</v>
      </c>
      <c r="G6" s="446" t="s">
        <v>166</v>
      </c>
      <c r="H6" s="67" t="s">
        <v>7</v>
      </c>
      <c r="I6" s="87" t="s">
        <v>166</v>
      </c>
      <c r="J6" s="67" t="s">
        <v>7</v>
      </c>
      <c r="K6" s="64" t="s">
        <v>166</v>
      </c>
      <c r="L6" s="64" t="s">
        <v>7</v>
      </c>
      <c r="M6" s="87" t="s">
        <v>166</v>
      </c>
      <c r="N6" s="64" t="s">
        <v>7</v>
      </c>
      <c r="O6" s="87" t="s">
        <v>166</v>
      </c>
      <c r="P6" s="64" t="s">
        <v>7</v>
      </c>
      <c r="Q6" s="87" t="s">
        <v>166</v>
      </c>
      <c r="R6" s="64" t="s">
        <v>7</v>
      </c>
      <c r="S6" s="301" t="s">
        <v>7</v>
      </c>
      <c r="T6" s="169" t="s">
        <v>7</v>
      </c>
      <c r="U6" s="446" t="s">
        <v>166</v>
      </c>
      <c r="V6" s="67" t="s">
        <v>7</v>
      </c>
      <c r="W6" s="64" t="s">
        <v>166</v>
      </c>
      <c r="X6" s="64" t="s">
        <v>7</v>
      </c>
      <c r="Y6" s="87" t="s">
        <v>166</v>
      </c>
      <c r="Z6" s="67" t="s">
        <v>7</v>
      </c>
      <c r="AA6" s="64" t="s">
        <v>166</v>
      </c>
      <c r="AB6" s="64" t="s">
        <v>7</v>
      </c>
      <c r="AC6" s="296" t="s">
        <v>7</v>
      </c>
      <c r="AD6" s="448" t="s">
        <v>166</v>
      </c>
      <c r="AE6" s="447" t="s">
        <v>7</v>
      </c>
      <c r="AF6" s="460"/>
      <c r="AG6" s="53"/>
      <c r="AH6" s="281" t="s">
        <v>335</v>
      </c>
      <c r="AI6" s="284" t="s">
        <v>343</v>
      </c>
      <c r="AJ6" s="279"/>
    </row>
    <row r="7" spans="2:36">
      <c r="B7" s="293" t="s">
        <v>227</v>
      </c>
      <c r="C7" s="290">
        <f>C5+C6</f>
        <v>778.83</v>
      </c>
      <c r="D7" s="56"/>
      <c r="E7" s="61" t="s">
        <v>175</v>
      </c>
      <c r="F7" s="62">
        <v>3.54</v>
      </c>
      <c r="G7" s="166" t="s">
        <v>434</v>
      </c>
      <c r="H7" s="71">
        <v>20</v>
      </c>
      <c r="I7" s="75"/>
      <c r="J7" s="71"/>
      <c r="K7" s="53" t="s">
        <v>435</v>
      </c>
      <c r="L7" s="309">
        <v>5.25</v>
      </c>
      <c r="M7" s="53" t="s">
        <v>345</v>
      </c>
      <c r="N7" s="71">
        <v>18.11</v>
      </c>
      <c r="O7" s="69"/>
      <c r="P7" s="71"/>
      <c r="Q7" s="56" t="s">
        <v>436</v>
      </c>
      <c r="R7" s="56">
        <v>1.4</v>
      </c>
      <c r="S7" s="259"/>
      <c r="T7" s="75">
        <v>8.1</v>
      </c>
      <c r="U7" s="171" t="s">
        <v>437</v>
      </c>
      <c r="V7" s="71">
        <v>10</v>
      </c>
      <c r="W7" s="69" t="s">
        <v>438</v>
      </c>
      <c r="X7" s="71">
        <v>29.99</v>
      </c>
      <c r="Y7" s="159" t="s">
        <v>439</v>
      </c>
      <c r="Z7" s="158">
        <v>50</v>
      </c>
      <c r="AA7" s="53" t="s">
        <v>440</v>
      </c>
      <c r="AB7" s="56">
        <v>6</v>
      </c>
      <c r="AC7" s="297">
        <v>22.22</v>
      </c>
      <c r="AD7" s="56"/>
      <c r="AE7" s="70"/>
      <c r="AF7" s="56"/>
      <c r="AG7" s="53"/>
      <c r="AH7" s="281" t="s">
        <v>350</v>
      </c>
      <c r="AI7" s="284" t="s">
        <v>351</v>
      </c>
      <c r="AJ7" s="279"/>
    </row>
    <row r="8" spans="2:36">
      <c r="B8" s="294" t="s">
        <v>230</v>
      </c>
      <c r="C8" s="60">
        <f>F31</f>
        <v>0.65999999999996817</v>
      </c>
      <c r="D8" s="56"/>
      <c r="E8" s="61" t="s">
        <v>133</v>
      </c>
      <c r="F8" s="62">
        <v>625.95000000000005</v>
      </c>
      <c r="G8" s="166"/>
      <c r="H8" s="71"/>
      <c r="I8" s="75"/>
      <c r="J8" s="71"/>
      <c r="K8" s="53"/>
      <c r="L8" s="56"/>
      <c r="M8" s="75"/>
      <c r="N8" s="56"/>
      <c r="O8" s="75"/>
      <c r="P8" s="71"/>
      <c r="Q8" s="56" t="s">
        <v>441</v>
      </c>
      <c r="R8" s="56">
        <v>7.49</v>
      </c>
      <c r="S8" s="259"/>
      <c r="T8" s="75">
        <v>7.21</v>
      </c>
      <c r="U8" s="171" t="s">
        <v>145</v>
      </c>
      <c r="V8" s="71">
        <v>0.75</v>
      </c>
      <c r="W8" s="53"/>
      <c r="X8" s="56"/>
      <c r="Y8" s="75"/>
      <c r="Z8" s="71"/>
      <c r="AA8" s="69" t="s">
        <v>442</v>
      </c>
      <c r="AB8" s="56">
        <v>6</v>
      </c>
      <c r="AC8" s="297"/>
      <c r="AD8" s="56"/>
      <c r="AE8" s="70"/>
      <c r="AF8" s="56"/>
      <c r="AG8" s="53"/>
      <c r="AH8" s="281" t="s">
        <v>357</v>
      </c>
      <c r="AI8" s="284" t="s">
        <v>358</v>
      </c>
      <c r="AJ8" s="279"/>
    </row>
    <row r="9" spans="2:36">
      <c r="B9" s="72"/>
      <c r="C9" s="126"/>
      <c r="D9" s="56"/>
      <c r="E9" s="152" t="s">
        <v>443</v>
      </c>
      <c r="F9" s="365">
        <v>150</v>
      </c>
      <c r="G9" s="166"/>
      <c r="H9" s="71"/>
      <c r="I9" s="75"/>
      <c r="J9" s="71"/>
      <c r="K9" s="56"/>
      <c r="L9" s="56"/>
      <c r="M9" s="75"/>
      <c r="N9" s="56"/>
      <c r="O9" s="75"/>
      <c r="P9" s="71"/>
      <c r="Q9" s="56" t="s">
        <v>444</v>
      </c>
      <c r="R9" s="56">
        <v>18</v>
      </c>
      <c r="S9" s="259"/>
      <c r="T9" s="75">
        <v>5.18</v>
      </c>
      <c r="U9" s="171" t="s">
        <v>187</v>
      </c>
      <c r="V9" s="71">
        <v>25</v>
      </c>
      <c r="W9" s="53"/>
      <c r="X9" s="56"/>
      <c r="Y9" s="75"/>
      <c r="Z9" s="71"/>
      <c r="AA9" s="53" t="s">
        <v>445</v>
      </c>
      <c r="AB9" s="56">
        <v>5.99</v>
      </c>
      <c r="AC9" s="297"/>
      <c r="AD9" s="56"/>
      <c r="AE9" s="70"/>
      <c r="AF9" s="56"/>
      <c r="AG9" s="53"/>
      <c r="AH9" s="281" t="s">
        <v>363</v>
      </c>
      <c r="AI9" s="284" t="s">
        <v>364</v>
      </c>
      <c r="AJ9" s="279"/>
    </row>
    <row r="10" spans="2:36">
      <c r="B10" s="53"/>
      <c r="C10" s="56"/>
      <c r="D10" s="56"/>
      <c r="E10" s="61"/>
      <c r="F10" s="62"/>
      <c r="G10" s="166"/>
      <c r="H10" s="71"/>
      <c r="I10" s="75"/>
      <c r="J10" s="71"/>
      <c r="K10" s="56"/>
      <c r="L10" s="56"/>
      <c r="M10" s="75"/>
      <c r="N10" s="56"/>
      <c r="O10" s="75"/>
      <c r="P10" s="71"/>
      <c r="Q10" s="56" t="s">
        <v>446</v>
      </c>
      <c r="R10" s="56">
        <v>10</v>
      </c>
      <c r="S10" s="259"/>
      <c r="T10" s="75">
        <v>1.35</v>
      </c>
      <c r="U10" s="171" t="s">
        <v>447</v>
      </c>
      <c r="V10" s="71">
        <v>18</v>
      </c>
      <c r="W10" s="53"/>
      <c r="X10" s="56"/>
      <c r="Y10" s="75"/>
      <c r="Z10" s="71"/>
      <c r="AA10" s="53"/>
      <c r="AB10" s="56"/>
      <c r="AC10" s="297"/>
      <c r="AD10" s="56"/>
      <c r="AE10" s="70"/>
      <c r="AF10" s="56"/>
      <c r="AG10" s="53"/>
      <c r="AH10" s="281" t="s">
        <v>201</v>
      </c>
      <c r="AI10" s="285" t="s">
        <v>202</v>
      </c>
      <c r="AJ10" s="279"/>
    </row>
    <row r="11" spans="2:36">
      <c r="B11" s="307" t="s">
        <v>392</v>
      </c>
      <c r="C11" s="308"/>
      <c r="D11" s="56"/>
      <c r="E11" s="20"/>
      <c r="G11" s="166"/>
      <c r="H11" s="71"/>
      <c r="I11" s="75"/>
      <c r="J11" s="71"/>
      <c r="K11" s="56"/>
      <c r="L11" s="56"/>
      <c r="M11" s="75"/>
      <c r="N11" s="56"/>
      <c r="O11" s="75"/>
      <c r="P11" s="71"/>
      <c r="Q11" s="56" t="s">
        <v>448</v>
      </c>
      <c r="R11" s="56">
        <v>38</v>
      </c>
      <c r="S11" s="259"/>
      <c r="T11" s="75">
        <v>11.55</v>
      </c>
      <c r="U11" s="171" t="s">
        <v>449</v>
      </c>
      <c r="V11" s="71">
        <v>10</v>
      </c>
      <c r="W11" s="53"/>
      <c r="X11" s="56"/>
      <c r="Y11" s="75"/>
      <c r="Z11" s="71"/>
      <c r="AA11" s="53"/>
      <c r="AB11" s="56"/>
      <c r="AC11" s="297"/>
      <c r="AD11" s="56"/>
      <c r="AE11" s="70"/>
      <c r="AF11" s="56"/>
      <c r="AG11" s="53"/>
      <c r="AH11" s="281" t="s">
        <v>340</v>
      </c>
      <c r="AI11" s="285" t="s">
        <v>367</v>
      </c>
      <c r="AJ11" s="279"/>
    </row>
    <row r="12" spans="2:36">
      <c r="B12" s="248" t="s">
        <v>394</v>
      </c>
      <c r="C12" s="249">
        <v>3257</v>
      </c>
      <c r="D12" s="458"/>
      <c r="E12" s="61"/>
      <c r="F12" s="62"/>
      <c r="G12" s="166"/>
      <c r="H12" s="71"/>
      <c r="I12" s="75"/>
      <c r="J12" s="71"/>
      <c r="K12" s="56"/>
      <c r="L12" s="56"/>
      <c r="M12" s="75"/>
      <c r="N12" s="56"/>
      <c r="O12" s="75"/>
      <c r="P12" s="71"/>
      <c r="Q12" s="56"/>
      <c r="R12" s="56"/>
      <c r="S12" s="259"/>
      <c r="T12" s="75">
        <v>4.76</v>
      </c>
      <c r="U12" s="171" t="s">
        <v>450</v>
      </c>
      <c r="V12" s="71">
        <v>8.6</v>
      </c>
      <c r="W12" s="53"/>
      <c r="X12" s="56"/>
      <c r="Y12" s="75"/>
      <c r="Z12" s="71"/>
      <c r="AA12" s="154" t="s">
        <v>451</v>
      </c>
      <c r="AB12" s="153">
        <v>150</v>
      </c>
      <c r="AC12" s="356">
        <v>100</v>
      </c>
      <c r="AD12" s="56"/>
      <c r="AE12" s="70"/>
      <c r="AF12" s="56"/>
      <c r="AG12" s="53"/>
      <c r="AH12" s="281" t="s">
        <v>9</v>
      </c>
      <c r="AI12" s="285" t="s">
        <v>210</v>
      </c>
      <c r="AJ12" s="279"/>
    </row>
    <row r="13" spans="2:36">
      <c r="B13" s="248" t="s">
        <v>396</v>
      </c>
      <c r="C13" s="249">
        <f>F27</f>
        <v>0</v>
      </c>
      <c r="D13" s="77"/>
      <c r="E13" s="61"/>
      <c r="F13" s="76"/>
      <c r="G13" s="166"/>
      <c r="H13" s="71"/>
      <c r="I13" s="75"/>
      <c r="J13" s="71"/>
      <c r="K13" s="56"/>
      <c r="L13" s="56"/>
      <c r="M13" s="75"/>
      <c r="N13" s="56"/>
      <c r="O13" s="75"/>
      <c r="P13" s="71"/>
      <c r="Q13" s="56"/>
      <c r="R13" s="56"/>
      <c r="S13" s="259"/>
      <c r="T13" s="75">
        <v>6.03</v>
      </c>
      <c r="U13" s="171" t="s">
        <v>236</v>
      </c>
      <c r="V13" s="71">
        <v>57</v>
      </c>
      <c r="W13" s="53"/>
      <c r="X13" s="56"/>
      <c r="Y13" s="75"/>
      <c r="Z13" s="71"/>
      <c r="AA13" s="53"/>
      <c r="AB13" s="56"/>
      <c r="AC13" s="297"/>
      <c r="AD13" s="56"/>
      <c r="AE13" s="70"/>
      <c r="AF13" s="56"/>
      <c r="AG13" s="53"/>
      <c r="AH13" s="282" t="s">
        <v>159</v>
      </c>
      <c r="AI13" s="286" t="s">
        <v>368</v>
      </c>
      <c r="AJ13" s="276"/>
    </row>
    <row r="14" spans="2:36">
      <c r="B14" s="257" t="s">
        <v>452</v>
      </c>
      <c r="C14" s="257">
        <v>500</v>
      </c>
      <c r="D14" s="77"/>
      <c r="E14" s="78"/>
      <c r="F14" s="76"/>
      <c r="G14" s="166"/>
      <c r="H14" s="71"/>
      <c r="I14" s="75"/>
      <c r="J14" s="71"/>
      <c r="K14" s="56"/>
      <c r="L14" s="56"/>
      <c r="M14" s="75"/>
      <c r="N14" s="56"/>
      <c r="O14" s="75"/>
      <c r="P14" s="71"/>
      <c r="Q14" s="56"/>
      <c r="R14" s="56"/>
      <c r="S14" s="259"/>
      <c r="T14" s="75">
        <v>3.73</v>
      </c>
      <c r="U14" s="171" t="s">
        <v>453</v>
      </c>
      <c r="V14" s="71">
        <v>15</v>
      </c>
      <c r="W14" s="53"/>
      <c r="X14" s="56"/>
      <c r="Y14" s="75"/>
      <c r="Z14" s="71"/>
      <c r="AA14" s="53"/>
      <c r="AB14" s="56"/>
      <c r="AC14" s="297"/>
      <c r="AD14" s="56"/>
      <c r="AE14" s="70"/>
      <c r="AF14" s="56"/>
      <c r="AG14" s="53"/>
      <c r="AH14" s="282" t="s">
        <v>161</v>
      </c>
      <c r="AI14" s="287" t="s">
        <v>369</v>
      </c>
      <c r="AJ14" s="276"/>
    </row>
    <row r="15" spans="2:36">
      <c r="B15" s="257" t="s">
        <v>454</v>
      </c>
      <c r="C15" s="257">
        <v>137.88</v>
      </c>
      <c r="D15" s="77"/>
      <c r="E15" s="78"/>
      <c r="F15" s="76"/>
      <c r="G15" s="166"/>
      <c r="H15" s="71"/>
      <c r="I15" s="75"/>
      <c r="J15" s="71"/>
      <c r="K15" s="56"/>
      <c r="L15" s="56"/>
      <c r="M15" s="75"/>
      <c r="N15" s="56"/>
      <c r="O15" s="75"/>
      <c r="P15" s="71"/>
      <c r="Q15" s="56"/>
      <c r="R15" s="56"/>
      <c r="S15" s="259"/>
      <c r="T15" s="75">
        <v>2.46</v>
      </c>
      <c r="U15" s="171" t="s">
        <v>453</v>
      </c>
      <c r="V15" s="71">
        <v>10</v>
      </c>
      <c r="W15" s="53"/>
      <c r="X15" s="56"/>
      <c r="Y15" s="75"/>
      <c r="Z15" s="71"/>
      <c r="AA15" s="53"/>
      <c r="AB15" s="56"/>
      <c r="AC15" s="297"/>
      <c r="AD15" s="56"/>
      <c r="AE15" s="70"/>
      <c r="AF15" s="56"/>
      <c r="AG15" s="53"/>
      <c r="AH15" s="282" t="s">
        <v>162</v>
      </c>
      <c r="AI15" s="287" t="s">
        <v>370</v>
      </c>
      <c r="AJ15" s="276"/>
    </row>
    <row r="16" spans="2:36">
      <c r="B16" s="257" t="s">
        <v>455</v>
      </c>
      <c r="C16" s="366">
        <v>-150</v>
      </c>
      <c r="D16" s="77"/>
      <c r="E16" s="61"/>
      <c r="F16" s="62"/>
      <c r="G16" s="166"/>
      <c r="H16" s="71"/>
      <c r="I16" s="75"/>
      <c r="J16" s="71"/>
      <c r="K16" s="56"/>
      <c r="L16" s="56"/>
      <c r="M16" s="75"/>
      <c r="N16" s="56"/>
      <c r="O16" s="69"/>
      <c r="P16" s="71"/>
      <c r="Q16" s="56"/>
      <c r="R16" s="56"/>
      <c r="S16" s="259"/>
      <c r="T16" s="75">
        <v>1.44</v>
      </c>
      <c r="U16" s="171" t="s">
        <v>456</v>
      </c>
      <c r="V16" s="71">
        <v>8.34</v>
      </c>
      <c r="W16" s="53"/>
      <c r="X16" s="56"/>
      <c r="Y16" s="75"/>
      <c r="Z16" s="71"/>
      <c r="AA16" s="53"/>
      <c r="AB16" s="56"/>
      <c r="AC16" s="297"/>
      <c r="AD16" s="56"/>
      <c r="AE16" s="70"/>
      <c r="AF16" s="56"/>
      <c r="AG16" s="53"/>
      <c r="AH16" s="282" t="s">
        <v>163</v>
      </c>
      <c r="AI16" s="286" t="s">
        <v>371</v>
      </c>
      <c r="AJ16" s="276"/>
    </row>
    <row r="17" spans="2:36">
      <c r="B17" s="369" t="s">
        <v>280</v>
      </c>
      <c r="C17" s="370">
        <v>200</v>
      </c>
      <c r="D17" s="56"/>
      <c r="E17" s="79"/>
      <c r="F17" s="80"/>
      <c r="G17" s="166"/>
      <c r="H17" s="71"/>
      <c r="I17" s="75"/>
      <c r="J17" s="71"/>
      <c r="K17" s="56"/>
      <c r="L17" s="56"/>
      <c r="M17" s="75"/>
      <c r="N17" s="56"/>
      <c r="O17" s="75"/>
      <c r="P17" s="71"/>
      <c r="Q17" s="56"/>
      <c r="R17" s="56"/>
      <c r="S17" s="259"/>
      <c r="T17" s="75">
        <v>13.97</v>
      </c>
      <c r="U17" s="171" t="s">
        <v>456</v>
      </c>
      <c r="V17" s="71">
        <v>7.32</v>
      </c>
      <c r="W17" s="53"/>
      <c r="X17" s="56"/>
      <c r="Y17" s="75"/>
      <c r="Z17" s="71"/>
      <c r="AA17" s="53"/>
      <c r="AB17" s="56"/>
      <c r="AC17" s="297"/>
      <c r="AD17" s="56"/>
      <c r="AE17" s="70"/>
      <c r="AF17" s="56"/>
      <c r="AG17" s="53"/>
      <c r="AH17" s="282" t="s">
        <v>224</v>
      </c>
      <c r="AI17" s="287" t="s">
        <v>225</v>
      </c>
      <c r="AJ17" s="276"/>
    </row>
    <row r="18" spans="2:36" ht="17.100000000000001" thickBot="1">
      <c r="B18" s="367" t="s">
        <v>457</v>
      </c>
      <c r="C18" s="368">
        <v>-200</v>
      </c>
      <c r="D18" s="458"/>
      <c r="E18" s="78"/>
      <c r="F18" s="76"/>
      <c r="G18" s="166"/>
      <c r="H18" s="71"/>
      <c r="I18" s="75"/>
      <c r="J18" s="71"/>
      <c r="K18" s="56"/>
      <c r="L18" s="56"/>
      <c r="M18" s="75"/>
      <c r="N18" s="56"/>
      <c r="O18" s="75"/>
      <c r="P18" s="71"/>
      <c r="Q18" s="56"/>
      <c r="R18" s="56"/>
      <c r="S18" s="259"/>
      <c r="T18" s="75">
        <v>2.11</v>
      </c>
      <c r="U18" s="171" t="s">
        <v>458</v>
      </c>
      <c r="V18" s="71">
        <v>15</v>
      </c>
      <c r="W18" s="53"/>
      <c r="X18" s="56"/>
      <c r="Y18" s="75"/>
      <c r="Z18" s="71"/>
      <c r="AA18" s="53"/>
      <c r="AB18" s="76"/>
      <c r="AC18" s="298"/>
      <c r="AD18" s="76"/>
      <c r="AE18" s="81"/>
      <c r="AF18" s="76"/>
      <c r="AG18" s="53"/>
      <c r="AH18" s="283" t="s">
        <v>341</v>
      </c>
      <c r="AI18" s="277" t="s">
        <v>372</v>
      </c>
      <c r="AJ18" s="278"/>
    </row>
    <row r="19" spans="2:36">
      <c r="B19" s="250"/>
      <c r="C19" s="251"/>
      <c r="D19" s="77"/>
      <c r="E19" s="78"/>
      <c r="F19" s="76"/>
      <c r="G19" s="166"/>
      <c r="H19" s="71"/>
      <c r="I19" s="75"/>
      <c r="J19" s="71"/>
      <c r="K19" s="56"/>
      <c r="L19" s="56"/>
      <c r="M19" s="75"/>
      <c r="N19" s="56"/>
      <c r="O19" s="75"/>
      <c r="P19" s="71"/>
      <c r="Q19" s="56"/>
      <c r="R19" s="56"/>
      <c r="S19" s="259"/>
      <c r="T19" s="75">
        <v>7.48</v>
      </c>
      <c r="U19" s="171" t="s">
        <v>187</v>
      </c>
      <c r="V19" s="71">
        <v>30</v>
      </c>
      <c r="W19" s="53"/>
      <c r="X19" s="56"/>
      <c r="Y19" s="75"/>
      <c r="Z19" s="71"/>
      <c r="AA19" s="53"/>
      <c r="AB19" s="56"/>
      <c r="AC19" s="297"/>
      <c r="AD19" s="56"/>
      <c r="AE19" s="70"/>
      <c r="AF19" s="56"/>
      <c r="AG19" s="53"/>
      <c r="AH19" s="53"/>
    </row>
    <row r="20" spans="2:36">
      <c r="B20" s="252" t="s">
        <v>227</v>
      </c>
      <c r="C20" s="253">
        <f>SUM(C12:C19)</f>
        <v>3744.88</v>
      </c>
      <c r="D20" s="77"/>
      <c r="E20" s="78"/>
      <c r="F20" s="76"/>
      <c r="G20" s="166"/>
      <c r="H20" s="71"/>
      <c r="I20" s="75"/>
      <c r="J20" s="71"/>
      <c r="K20" s="56"/>
      <c r="L20" s="56"/>
      <c r="M20" s="75"/>
      <c r="N20" s="56"/>
      <c r="O20" s="75"/>
      <c r="P20" s="71"/>
      <c r="Q20" s="56"/>
      <c r="R20" s="56"/>
      <c r="S20" s="259"/>
      <c r="T20" s="75"/>
      <c r="U20" s="171"/>
      <c r="V20" s="71"/>
      <c r="W20" s="53"/>
      <c r="X20" s="56"/>
      <c r="Y20" s="75"/>
      <c r="Z20" s="71"/>
      <c r="AA20" s="53"/>
      <c r="AB20" s="56"/>
      <c r="AC20" s="297"/>
      <c r="AD20" s="56"/>
      <c r="AE20" s="70"/>
      <c r="AF20" s="56"/>
      <c r="AG20" s="53"/>
      <c r="AH20" s="53"/>
    </row>
    <row r="21" spans="2:36">
      <c r="B21" s="53"/>
      <c r="C21" s="53"/>
      <c r="D21" s="77"/>
      <c r="E21" s="78"/>
      <c r="F21" s="76"/>
      <c r="G21" s="166"/>
      <c r="H21" s="71"/>
      <c r="I21" s="75"/>
      <c r="J21" s="71"/>
      <c r="K21" s="56"/>
      <c r="L21" s="56"/>
      <c r="M21" s="75"/>
      <c r="N21" s="56"/>
      <c r="O21" s="75"/>
      <c r="P21" s="71"/>
      <c r="Q21" s="56"/>
      <c r="R21" s="56"/>
      <c r="S21" s="259"/>
      <c r="T21" s="75"/>
      <c r="U21" s="171"/>
      <c r="V21" s="71"/>
      <c r="W21" s="53"/>
      <c r="X21" s="56"/>
      <c r="Y21" s="75"/>
      <c r="Z21" s="71"/>
      <c r="AA21" s="53"/>
      <c r="AB21" s="56"/>
      <c r="AC21" s="297"/>
      <c r="AD21" s="56"/>
      <c r="AE21" s="70"/>
      <c r="AF21" s="56"/>
      <c r="AG21" s="53"/>
      <c r="AH21" s="53"/>
    </row>
    <row r="22" spans="2:36">
      <c r="B22" s="53"/>
      <c r="C22" s="53"/>
      <c r="D22" s="77"/>
      <c r="E22" s="68"/>
      <c r="F22" s="74"/>
      <c r="G22" s="166"/>
      <c r="H22" s="71"/>
      <c r="I22" s="75"/>
      <c r="J22" s="71"/>
      <c r="K22" s="56"/>
      <c r="L22" s="56"/>
      <c r="M22" s="75"/>
      <c r="N22" s="56"/>
      <c r="O22" s="75"/>
      <c r="P22" s="71"/>
      <c r="Q22" s="56"/>
      <c r="R22" s="56"/>
      <c r="S22" s="259"/>
      <c r="T22" s="75"/>
      <c r="U22" s="171"/>
      <c r="V22" s="71"/>
      <c r="W22" s="53"/>
      <c r="X22" s="56"/>
      <c r="Y22" s="75"/>
      <c r="Z22" s="71"/>
      <c r="AA22" s="53"/>
      <c r="AB22" s="56"/>
      <c r="AC22" s="297"/>
      <c r="AD22" s="56"/>
      <c r="AE22" s="70"/>
      <c r="AF22" s="56"/>
      <c r="AG22" s="53"/>
      <c r="AH22" s="53"/>
      <c r="AJ22" s="112"/>
    </row>
    <row r="23" spans="2:36">
      <c r="B23" s="53"/>
      <c r="C23" s="53"/>
      <c r="D23" s="77"/>
      <c r="E23" s="68"/>
      <c r="F23" s="74"/>
      <c r="G23" s="166"/>
      <c r="H23" s="71"/>
      <c r="I23" s="75"/>
      <c r="J23" s="71"/>
      <c r="K23" s="56"/>
      <c r="L23" s="56"/>
      <c r="M23" s="75"/>
      <c r="N23" s="56"/>
      <c r="O23" s="75"/>
      <c r="P23" s="71"/>
      <c r="Q23" s="56"/>
      <c r="R23" s="56"/>
      <c r="S23" s="259"/>
      <c r="T23" s="75"/>
      <c r="U23" s="171"/>
      <c r="V23" s="71"/>
      <c r="W23" s="53"/>
      <c r="X23" s="56"/>
      <c r="Y23" s="75"/>
      <c r="Z23" s="71"/>
      <c r="AA23" s="53"/>
      <c r="AB23" s="56"/>
      <c r="AC23" s="297"/>
      <c r="AD23" s="56"/>
      <c r="AE23" s="70"/>
      <c r="AF23" s="56"/>
      <c r="AG23" s="53"/>
      <c r="AH23" s="53"/>
      <c r="AJ23" s="112"/>
    </row>
    <row r="24" spans="2:36">
      <c r="B24" s="53"/>
      <c r="C24" s="53"/>
      <c r="D24" s="77"/>
      <c r="E24" s="68"/>
      <c r="F24" s="74"/>
      <c r="G24" s="166"/>
      <c r="H24" s="71"/>
      <c r="I24" s="75"/>
      <c r="J24" s="71"/>
      <c r="K24" s="56"/>
      <c r="L24" s="56"/>
      <c r="M24" s="75"/>
      <c r="N24" s="56"/>
      <c r="O24" s="75"/>
      <c r="P24" s="71"/>
      <c r="Q24" s="56"/>
      <c r="R24" s="56"/>
      <c r="S24" s="259"/>
      <c r="T24" s="75"/>
      <c r="U24" s="171"/>
      <c r="V24" s="71"/>
      <c r="W24" s="53"/>
      <c r="X24" s="56"/>
      <c r="Y24" s="75"/>
      <c r="Z24" s="71"/>
      <c r="AA24" s="53"/>
      <c r="AB24" s="56"/>
      <c r="AC24" s="297"/>
      <c r="AD24" s="56"/>
      <c r="AE24" s="70"/>
      <c r="AF24" s="56"/>
      <c r="AG24" s="53"/>
      <c r="AH24" s="53"/>
      <c r="AJ24" s="112"/>
    </row>
    <row r="25" spans="2:36">
      <c r="B25" s="53"/>
      <c r="C25" s="53"/>
      <c r="D25" s="53"/>
      <c r="E25" s="68"/>
      <c r="F25" s="74"/>
      <c r="G25" s="166"/>
      <c r="H25" s="71"/>
      <c r="I25" s="75"/>
      <c r="J25" s="71"/>
      <c r="K25" s="56"/>
      <c r="L25" s="56"/>
      <c r="M25" s="75"/>
      <c r="N25" s="56"/>
      <c r="O25" s="75"/>
      <c r="P25" s="71"/>
      <c r="Q25" s="56"/>
      <c r="R25" s="56"/>
      <c r="S25" s="259"/>
      <c r="T25" s="75"/>
      <c r="U25" s="171"/>
      <c r="V25" s="71"/>
      <c r="W25" s="53"/>
      <c r="X25" s="56"/>
      <c r="Y25" s="75"/>
      <c r="Z25" s="71"/>
      <c r="AA25" s="53"/>
      <c r="AB25" s="56"/>
      <c r="AC25" s="297"/>
      <c r="AD25" s="56"/>
      <c r="AE25" s="70"/>
      <c r="AF25" s="56"/>
      <c r="AG25" s="53"/>
      <c r="AH25" s="53"/>
      <c r="AJ25" s="112"/>
    </row>
    <row r="26" spans="2:36">
      <c r="B26" s="53"/>
      <c r="C26" s="53"/>
      <c r="D26" s="53"/>
      <c r="E26" s="68" t="s">
        <v>227</v>
      </c>
      <c r="F26" s="62">
        <f>SUM(F7:F25)</f>
        <v>779.49</v>
      </c>
      <c r="G26" s="166"/>
      <c r="H26" s="71"/>
      <c r="I26" s="75"/>
      <c r="J26" s="71"/>
      <c r="K26" s="56"/>
      <c r="L26" s="56"/>
      <c r="M26" s="75"/>
      <c r="N26" s="56"/>
      <c r="O26" s="75"/>
      <c r="P26" s="71"/>
      <c r="Q26" s="56"/>
      <c r="R26" s="56"/>
      <c r="S26" s="259"/>
      <c r="T26" s="75"/>
      <c r="U26" s="171"/>
      <c r="V26" s="71"/>
      <c r="W26" s="53"/>
      <c r="X26" s="56"/>
      <c r="Y26" s="75"/>
      <c r="Z26" s="71"/>
      <c r="AA26" s="53"/>
      <c r="AB26" s="56"/>
      <c r="AC26" s="297"/>
      <c r="AD26" s="56"/>
      <c r="AE26" s="70"/>
      <c r="AF26" s="56"/>
      <c r="AG26" s="53"/>
      <c r="AH26" s="53"/>
      <c r="AJ26" s="112"/>
    </row>
    <row r="27" spans="2:36">
      <c r="B27" s="53"/>
      <c r="C27" s="53"/>
      <c r="D27" s="53"/>
      <c r="E27" s="68" t="s">
        <v>16</v>
      </c>
      <c r="F27" s="62">
        <v>0</v>
      </c>
      <c r="G27" s="166"/>
      <c r="H27" s="71"/>
      <c r="I27" s="75"/>
      <c r="J27" s="71"/>
      <c r="K27" s="56"/>
      <c r="L27" s="56"/>
      <c r="M27" s="75"/>
      <c r="N27" s="56"/>
      <c r="O27" s="75"/>
      <c r="P27" s="71"/>
      <c r="Q27" s="56"/>
      <c r="R27" s="56"/>
      <c r="S27" s="259"/>
      <c r="T27" s="75"/>
      <c r="U27" s="171"/>
      <c r="V27" s="71"/>
      <c r="W27" s="53"/>
      <c r="X27" s="56"/>
      <c r="Y27" s="75"/>
      <c r="Z27" s="71"/>
      <c r="AA27" s="53"/>
      <c r="AB27" s="56"/>
      <c r="AC27" s="297"/>
      <c r="AD27" s="56"/>
      <c r="AE27" s="70"/>
      <c r="AF27" s="56"/>
      <c r="AG27" s="53"/>
      <c r="AH27" s="53"/>
      <c r="AJ27" s="112"/>
    </row>
    <row r="28" spans="2:36">
      <c r="B28" s="53"/>
      <c r="C28" s="53"/>
      <c r="D28" s="53"/>
      <c r="E28" s="68" t="s">
        <v>373</v>
      </c>
      <c r="F28" s="62">
        <v>0</v>
      </c>
      <c r="G28" s="166"/>
      <c r="H28" s="71"/>
      <c r="I28" s="75"/>
      <c r="J28" s="71"/>
      <c r="K28" s="56"/>
      <c r="L28" s="56"/>
      <c r="M28" s="75"/>
      <c r="N28" s="56"/>
      <c r="O28" s="75"/>
      <c r="P28" s="71"/>
      <c r="Q28" s="56"/>
      <c r="R28" s="56"/>
      <c r="S28" s="259"/>
      <c r="T28" s="75"/>
      <c r="U28" s="171"/>
      <c r="V28" s="71"/>
      <c r="W28" s="53"/>
      <c r="X28" s="56"/>
      <c r="Y28" s="75"/>
      <c r="Z28" s="71"/>
      <c r="AA28" s="53"/>
      <c r="AB28" s="56"/>
      <c r="AC28" s="297"/>
      <c r="AD28" s="56"/>
      <c r="AE28" s="70"/>
      <c r="AF28" s="56"/>
      <c r="AG28" s="53"/>
      <c r="AH28" s="53"/>
    </row>
    <row r="29" spans="2:36">
      <c r="B29" s="53"/>
      <c r="C29" s="53"/>
      <c r="D29" s="53"/>
      <c r="E29" s="68"/>
      <c r="F29" s="62"/>
      <c r="G29" s="166"/>
      <c r="H29" s="71"/>
      <c r="I29" s="75"/>
      <c r="J29" s="71"/>
      <c r="K29" s="56"/>
      <c r="L29" s="56"/>
      <c r="M29" s="75"/>
      <c r="N29" s="56"/>
      <c r="O29" s="75"/>
      <c r="P29" s="71"/>
      <c r="Q29" s="56"/>
      <c r="R29" s="56"/>
      <c r="S29" s="259"/>
      <c r="T29" s="75"/>
      <c r="U29" s="171"/>
      <c r="V29" s="71"/>
      <c r="W29" s="53"/>
      <c r="X29" s="56"/>
      <c r="Y29" s="75"/>
      <c r="Z29" s="71"/>
      <c r="AA29" s="53"/>
      <c r="AB29" s="56"/>
      <c r="AC29" s="297"/>
      <c r="AD29" s="56"/>
      <c r="AE29" s="70"/>
      <c r="AF29" s="56"/>
      <c r="AG29" s="53"/>
      <c r="AH29" s="53"/>
    </row>
    <row r="30" spans="2:36">
      <c r="B30" s="53"/>
      <c r="C30" s="53"/>
      <c r="D30" s="53"/>
      <c r="E30" s="122" t="s">
        <v>229</v>
      </c>
      <c r="F30" s="164">
        <f>F26-F27-F28-F29</f>
        <v>779.49</v>
      </c>
      <c r="G30" s="713">
        <f>SUM(H7:H29)</f>
        <v>20</v>
      </c>
      <c r="H30" s="672"/>
      <c r="I30" s="671">
        <f>SUM(J7:J29)</f>
        <v>0</v>
      </c>
      <c r="J30" s="672"/>
      <c r="K30" s="671">
        <f>SUM(L7:L29)</f>
        <v>5.25</v>
      </c>
      <c r="L30" s="672"/>
      <c r="M30" s="671">
        <f>SUM(N7:N29)</f>
        <v>18.11</v>
      </c>
      <c r="N30" s="672"/>
      <c r="O30" s="671">
        <f>SUM(P7:P29)</f>
        <v>0</v>
      </c>
      <c r="P30" s="672"/>
      <c r="Q30" s="708">
        <f>SUM(R7:R29)</f>
        <v>74.89</v>
      </c>
      <c r="R30" s="709"/>
      <c r="S30" s="302">
        <f>SUM(S7:S29)</f>
        <v>0</v>
      </c>
      <c r="T30" s="275">
        <f>SUM(T7:T29)</f>
        <v>75.37</v>
      </c>
      <c r="U30" s="710">
        <f>SUM(V7:V29)</f>
        <v>215.01</v>
      </c>
      <c r="V30" s="711"/>
      <c r="W30" s="712">
        <f>SUM(X7:X29)</f>
        <v>29.99</v>
      </c>
      <c r="X30" s="711"/>
      <c r="Y30" s="712">
        <f>SUM(Z7:Z29)</f>
        <v>50</v>
      </c>
      <c r="Z30" s="711"/>
      <c r="AA30" s="712">
        <f>SUM(AB7:AB29)</f>
        <v>167.99</v>
      </c>
      <c r="AB30" s="706"/>
      <c r="AC30" s="299">
        <f>SUM(AC7:AC29)</f>
        <v>122.22</v>
      </c>
      <c r="AD30" s="706">
        <f>SUM(AE7:AE29)</f>
        <v>0</v>
      </c>
      <c r="AE30" s="707"/>
      <c r="AF30" s="56"/>
      <c r="AG30" s="53"/>
      <c r="AH30" s="53"/>
    </row>
    <row r="31" spans="2:36" ht="17.100000000000001" thickBot="1">
      <c r="B31" s="53"/>
      <c r="C31" s="53"/>
      <c r="D31" s="53"/>
      <c r="E31" s="124" t="s">
        <v>230</v>
      </c>
      <c r="F31" s="165">
        <f>F30-G32</f>
        <v>0.65999999999996817</v>
      </c>
      <c r="G31" s="682">
        <f>SUM(G30:T30)</f>
        <v>193.62</v>
      </c>
      <c r="H31" s="682"/>
      <c r="I31" s="682"/>
      <c r="J31" s="682"/>
      <c r="K31" s="682"/>
      <c r="L31" s="682"/>
      <c r="M31" s="682"/>
      <c r="N31" s="682"/>
      <c r="O31" s="682"/>
      <c r="P31" s="682"/>
      <c r="Q31" s="682"/>
      <c r="R31" s="682"/>
      <c r="S31" s="682"/>
      <c r="T31" s="682"/>
      <c r="U31" s="685">
        <f>SUM(U30:AE30)</f>
        <v>585.21</v>
      </c>
      <c r="V31" s="686"/>
      <c r="W31" s="686"/>
      <c r="X31" s="686"/>
      <c r="Y31" s="686"/>
      <c r="Z31" s="686"/>
      <c r="AA31" s="686"/>
      <c r="AB31" s="686"/>
      <c r="AC31" s="686"/>
      <c r="AD31" s="686"/>
      <c r="AE31" s="687"/>
      <c r="AF31" s="56"/>
      <c r="AG31" s="53"/>
      <c r="AH31" s="56"/>
    </row>
    <row r="32" spans="2:36" ht="20.100000000000001" thickBot="1">
      <c r="B32" s="53"/>
      <c r="C32" s="53"/>
      <c r="D32" s="53"/>
      <c r="E32" s="56"/>
      <c r="F32" s="62"/>
      <c r="G32" s="678">
        <f>SUM(G31:AB31)</f>
        <v>778.83</v>
      </c>
      <c r="H32" s="679"/>
      <c r="I32" s="679"/>
      <c r="J32" s="679"/>
      <c r="K32" s="679"/>
      <c r="L32" s="679"/>
      <c r="M32" s="679"/>
      <c r="N32" s="679"/>
      <c r="O32" s="679"/>
      <c r="P32" s="679"/>
      <c r="Q32" s="679"/>
      <c r="R32" s="679"/>
      <c r="S32" s="679"/>
      <c r="T32" s="679"/>
      <c r="U32" s="679"/>
      <c r="V32" s="679"/>
      <c r="W32" s="679"/>
      <c r="X32" s="679"/>
      <c r="Y32" s="679"/>
      <c r="Z32" s="679"/>
      <c r="AA32" s="679"/>
      <c r="AB32" s="679"/>
      <c r="AC32" s="679"/>
      <c r="AD32" s="679"/>
      <c r="AE32" s="680"/>
      <c r="AF32" s="56"/>
      <c r="AG32" s="53"/>
    </row>
    <row r="33" spans="2:33">
      <c r="B33" s="53"/>
      <c r="C33" s="53"/>
      <c r="D33" s="53"/>
      <c r="E33" s="53"/>
      <c r="F33" s="74"/>
      <c r="G33" s="683"/>
      <c r="H33" s="683"/>
      <c r="I33" s="451"/>
      <c r="J33" s="451"/>
      <c r="K33" s="451"/>
      <c r="L33" s="451"/>
      <c r="M33" s="451"/>
      <c r="N33" s="451"/>
      <c r="O33" s="451"/>
      <c r="P33" s="451"/>
      <c r="Q33" s="683"/>
      <c r="R33" s="683"/>
      <c r="S33" s="451"/>
      <c r="T33" s="274"/>
      <c r="U33" s="683"/>
      <c r="V33" s="683"/>
      <c r="W33" s="681"/>
      <c r="X33" s="681"/>
      <c r="Y33" s="681"/>
      <c r="Z33" s="681"/>
      <c r="AA33" s="681"/>
      <c r="AB33" s="681"/>
      <c r="AC33" s="450"/>
      <c r="AD33" s="450"/>
      <c r="AE33" s="450"/>
      <c r="AF33" s="56"/>
      <c r="AG33" s="53"/>
    </row>
    <row r="63" spans="3:37">
      <c r="C63" s="53"/>
      <c r="D63" s="53"/>
      <c r="E63" s="77"/>
      <c r="F63" s="53"/>
      <c r="G63" s="74"/>
      <c r="H63" s="53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3"/>
      <c r="Y63" s="56"/>
      <c r="Z63" s="56"/>
      <c r="AA63" s="56"/>
      <c r="AB63" s="53"/>
      <c r="AC63" s="56"/>
      <c r="AD63" s="56"/>
      <c r="AE63" s="56"/>
      <c r="AF63" s="56"/>
      <c r="AG63" s="56"/>
      <c r="AH63" s="53"/>
      <c r="AI63" s="53"/>
      <c r="AK63" s="112"/>
    </row>
    <row r="64" spans="3:37">
      <c r="C64" s="53"/>
      <c r="D64" s="53"/>
      <c r="E64" s="77"/>
      <c r="F64" s="53"/>
      <c r="G64" s="74"/>
      <c r="H64" s="53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3"/>
      <c r="Y64" s="56"/>
      <c r="Z64" s="56"/>
      <c r="AA64" s="56"/>
      <c r="AB64" s="53"/>
      <c r="AC64" s="56"/>
      <c r="AD64" s="56"/>
      <c r="AE64" s="56"/>
      <c r="AF64" s="56"/>
      <c r="AG64" s="56"/>
      <c r="AH64" s="53"/>
      <c r="AI64" s="53"/>
      <c r="AK64" s="112"/>
    </row>
    <row r="65" spans="3:37">
      <c r="C65" s="53"/>
      <c r="D65" s="53"/>
      <c r="E65" s="53"/>
      <c r="F65" s="53"/>
      <c r="G65" s="74"/>
      <c r="H65" s="53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3"/>
      <c r="Y65" s="56"/>
      <c r="Z65" s="56"/>
      <c r="AA65" s="56"/>
      <c r="AB65" s="53"/>
      <c r="AC65" s="56"/>
      <c r="AD65" s="56"/>
      <c r="AE65" s="56"/>
      <c r="AF65" s="56"/>
      <c r="AG65" s="56"/>
      <c r="AH65" s="53"/>
      <c r="AI65" s="53"/>
      <c r="AK65" s="112"/>
    </row>
    <row r="66" spans="3:37">
      <c r="C66" s="53"/>
      <c r="D66" s="53"/>
      <c r="E66" s="53"/>
      <c r="F66" s="53"/>
      <c r="G66" s="62"/>
      <c r="H66" s="53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3"/>
      <c r="Y66" s="56"/>
      <c r="Z66" s="56"/>
      <c r="AA66" s="56"/>
      <c r="AB66" s="53"/>
      <c r="AC66" s="56"/>
      <c r="AD66" s="56"/>
      <c r="AE66" s="56"/>
      <c r="AF66" s="56"/>
      <c r="AG66" s="56"/>
      <c r="AH66" s="53"/>
      <c r="AI66" s="53"/>
      <c r="AK66" s="112"/>
    </row>
    <row r="67" spans="3:37">
      <c r="C67" s="53"/>
      <c r="D67" s="53"/>
      <c r="E67" s="53"/>
      <c r="F67" s="53"/>
      <c r="G67" s="62"/>
      <c r="H67" s="53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3"/>
      <c r="Y67" s="56"/>
      <c r="Z67" s="56"/>
      <c r="AA67" s="56"/>
      <c r="AB67" s="53"/>
      <c r="AC67" s="56"/>
      <c r="AD67" s="56"/>
      <c r="AE67" s="56"/>
      <c r="AF67" s="56"/>
      <c r="AG67" s="56"/>
      <c r="AH67" s="53"/>
      <c r="AI67" s="53"/>
      <c r="AK67" s="112"/>
    </row>
    <row r="68" spans="3:37">
      <c r="C68" s="53"/>
      <c r="D68" s="53"/>
      <c r="E68" s="53"/>
      <c r="F68" s="53"/>
      <c r="G68" s="62"/>
      <c r="H68" s="53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3"/>
      <c r="Y68" s="56"/>
      <c r="Z68" s="56"/>
      <c r="AA68" s="56"/>
      <c r="AB68" s="53"/>
      <c r="AC68" s="56"/>
      <c r="AD68" s="56"/>
      <c r="AE68" s="56"/>
      <c r="AF68" s="56"/>
      <c r="AG68" s="56"/>
      <c r="AH68" s="53"/>
      <c r="AI68" s="53"/>
    </row>
    <row r="69" spans="3:37">
      <c r="C69" s="53"/>
      <c r="D69" s="53"/>
      <c r="E69" s="53"/>
      <c r="F69" s="53"/>
      <c r="G69" s="62"/>
      <c r="H69" s="53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3"/>
      <c r="Y69" s="56"/>
      <c r="Z69" s="56"/>
      <c r="AA69" s="56"/>
      <c r="AB69" s="53"/>
      <c r="AC69" s="56"/>
      <c r="AD69" s="56"/>
      <c r="AE69" s="56"/>
      <c r="AF69" s="56"/>
      <c r="AG69" s="56"/>
      <c r="AH69" s="53"/>
      <c r="AI69" s="53"/>
    </row>
    <row r="70" spans="3:37">
      <c r="C70" s="53"/>
      <c r="D70" s="53"/>
      <c r="E70" s="53"/>
      <c r="F70" s="53"/>
      <c r="G70" s="62"/>
      <c r="H70" s="688"/>
      <c r="I70" s="688"/>
      <c r="J70" s="688"/>
      <c r="K70" s="688"/>
      <c r="L70" s="688"/>
      <c r="M70" s="688"/>
      <c r="N70" s="688"/>
      <c r="O70" s="688"/>
      <c r="P70" s="688"/>
      <c r="Q70" s="688"/>
      <c r="R70" s="688"/>
      <c r="S70" s="688"/>
      <c r="T70" s="453"/>
      <c r="U70" s="451"/>
      <c r="V70" s="688"/>
      <c r="W70" s="688"/>
      <c r="X70" s="688"/>
      <c r="Y70" s="688"/>
      <c r="Z70" s="688"/>
      <c r="AA70" s="688"/>
      <c r="AB70" s="688"/>
      <c r="AC70" s="688"/>
      <c r="AD70" s="453"/>
      <c r="AE70" s="688"/>
      <c r="AF70" s="688"/>
      <c r="AG70" s="56"/>
      <c r="AH70" s="53"/>
      <c r="AI70" s="53"/>
    </row>
    <row r="71" spans="3:37">
      <c r="C71" s="53"/>
      <c r="D71" s="53"/>
      <c r="E71" s="53"/>
      <c r="F71" s="53"/>
      <c r="G71" s="62"/>
      <c r="H71" s="689"/>
      <c r="I71" s="689"/>
      <c r="J71" s="689"/>
      <c r="K71" s="689"/>
      <c r="L71" s="689"/>
      <c r="M71" s="689"/>
      <c r="N71" s="689"/>
      <c r="O71" s="689"/>
      <c r="P71" s="689"/>
      <c r="Q71" s="689"/>
      <c r="R71" s="689"/>
      <c r="S71" s="689"/>
      <c r="T71" s="689"/>
      <c r="U71" s="689"/>
      <c r="V71" s="689"/>
      <c r="W71" s="689"/>
      <c r="X71" s="689"/>
      <c r="Y71" s="689"/>
      <c r="Z71" s="689"/>
      <c r="AA71" s="689"/>
      <c r="AB71" s="689"/>
      <c r="AC71" s="689"/>
      <c r="AD71" s="689"/>
      <c r="AE71" s="689"/>
      <c r="AF71" s="689"/>
      <c r="AG71" s="56"/>
      <c r="AH71" s="53"/>
      <c r="AI71" s="56"/>
    </row>
    <row r="72" spans="3:37" ht="18.95">
      <c r="C72" s="53"/>
      <c r="D72" s="53"/>
      <c r="E72" s="53"/>
      <c r="F72" s="56"/>
      <c r="G72" s="62"/>
      <c r="H72" s="690"/>
      <c r="I72" s="690"/>
      <c r="J72" s="690"/>
      <c r="K72" s="690"/>
      <c r="L72" s="690"/>
      <c r="M72" s="690"/>
      <c r="N72" s="690"/>
      <c r="O72" s="690"/>
      <c r="P72" s="690"/>
      <c r="Q72" s="690"/>
      <c r="R72" s="690"/>
      <c r="S72" s="690"/>
      <c r="T72" s="690"/>
      <c r="U72" s="690"/>
      <c r="V72" s="690"/>
      <c r="W72" s="690"/>
      <c r="X72" s="690"/>
      <c r="Y72" s="690"/>
      <c r="Z72" s="690"/>
      <c r="AA72" s="690"/>
      <c r="AB72" s="690"/>
      <c r="AC72" s="690"/>
      <c r="AD72" s="690"/>
      <c r="AE72" s="690"/>
      <c r="AF72" s="690"/>
      <c r="AG72" s="56"/>
      <c r="AH72" s="53"/>
    </row>
    <row r="73" spans="3:37">
      <c r="C73" s="53"/>
      <c r="D73" s="53"/>
      <c r="E73" s="53"/>
      <c r="F73" s="53"/>
      <c r="G73" s="74"/>
      <c r="H73" s="683"/>
      <c r="I73" s="683"/>
      <c r="J73" s="451"/>
      <c r="K73" s="451"/>
      <c r="L73" s="451"/>
      <c r="M73" s="451"/>
      <c r="N73" s="451"/>
      <c r="O73" s="451"/>
      <c r="P73" s="451"/>
      <c r="Q73" s="451"/>
      <c r="R73" s="683"/>
      <c r="S73" s="683"/>
      <c r="T73" s="451"/>
      <c r="U73" s="274"/>
      <c r="V73" s="683"/>
      <c r="W73" s="683"/>
      <c r="X73" s="681"/>
      <c r="Y73" s="681"/>
      <c r="Z73" s="681"/>
      <c r="AA73" s="681"/>
      <c r="AB73" s="681"/>
      <c r="AC73" s="681"/>
      <c r="AD73" s="450"/>
      <c r="AE73" s="450"/>
      <c r="AF73" s="450"/>
      <c r="AG73" s="56"/>
      <c r="AH73" s="53"/>
    </row>
  </sheetData>
  <mergeCells count="54">
    <mergeCell ref="AE70:AF70"/>
    <mergeCell ref="H71:U71"/>
    <mergeCell ref="V71:AF71"/>
    <mergeCell ref="H72:AF72"/>
    <mergeCell ref="P70:Q70"/>
    <mergeCell ref="R70:S70"/>
    <mergeCell ref="V70:W70"/>
    <mergeCell ref="X70:Y70"/>
    <mergeCell ref="Z70:AA70"/>
    <mergeCell ref="H70:I70"/>
    <mergeCell ref="J70:K70"/>
    <mergeCell ref="L70:M70"/>
    <mergeCell ref="N70:O70"/>
    <mergeCell ref="I30:J30"/>
    <mergeCell ref="K30:L30"/>
    <mergeCell ref="M30:N30"/>
    <mergeCell ref="O30:P30"/>
    <mergeCell ref="AB73:AC73"/>
    <mergeCell ref="H73:I73"/>
    <mergeCell ref="R73:S73"/>
    <mergeCell ref="V73:W73"/>
    <mergeCell ref="X73:Y73"/>
    <mergeCell ref="Z73:AA73"/>
    <mergeCell ref="AB70:AC70"/>
    <mergeCell ref="AD30:AE30"/>
    <mergeCell ref="G31:T31"/>
    <mergeCell ref="U31:AE31"/>
    <mergeCell ref="G32:AE32"/>
    <mergeCell ref="G33:H33"/>
    <mergeCell ref="Q33:R33"/>
    <mergeCell ref="U33:V33"/>
    <mergeCell ref="W33:X33"/>
    <mergeCell ref="Y33:Z33"/>
    <mergeCell ref="AA33:AB33"/>
    <mergeCell ref="Q30:R30"/>
    <mergeCell ref="U30:V30"/>
    <mergeCell ref="W30:X30"/>
    <mergeCell ref="Y30:Z30"/>
    <mergeCell ref="AA30:AB30"/>
    <mergeCell ref="G30:H30"/>
    <mergeCell ref="AH4:AJ4"/>
    <mergeCell ref="O5:P5"/>
    <mergeCell ref="M5:N5"/>
    <mergeCell ref="Q5:R5"/>
    <mergeCell ref="U5:V5"/>
    <mergeCell ref="W5:X5"/>
    <mergeCell ref="Y5:Z5"/>
    <mergeCell ref="AA5:AB5"/>
    <mergeCell ref="AD5:AE5"/>
    <mergeCell ref="E4:AE4"/>
    <mergeCell ref="E5:F5"/>
    <mergeCell ref="K5:L5"/>
    <mergeCell ref="I5:J5"/>
    <mergeCell ref="G5:H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DDF55-495B-4A53-A99F-CDF00CAB99BE}">
  <sheetPr>
    <tabColor theme="9" tint="0.59999389629810485"/>
  </sheetPr>
  <dimension ref="C2:AN99"/>
  <sheetViews>
    <sheetView topLeftCell="U3" zoomScale="69" zoomScaleNormal="81" workbookViewId="0">
      <selection activeCell="O11" sqref="O11"/>
    </sheetView>
  </sheetViews>
  <sheetFormatPr defaultColWidth="8.875" defaultRowHeight="15.95"/>
  <cols>
    <col min="2" max="2" width="16.5" customWidth="1"/>
    <col min="3" max="3" width="22.5" customWidth="1"/>
    <col min="4" max="4" width="14.875" customWidth="1"/>
    <col min="5" max="5" width="12.5" customWidth="1"/>
    <col min="6" max="7" width="6.375" customWidth="1"/>
    <col min="8" max="8" width="26.875" customWidth="1"/>
    <col min="9" max="9" width="12.625" customWidth="1"/>
    <col min="10" max="10" width="7.375" customWidth="1"/>
    <col min="11" max="11" width="16.375" customWidth="1"/>
    <col min="12" max="12" width="16.625" customWidth="1"/>
    <col min="13" max="13" width="10.625" customWidth="1"/>
    <col min="14" max="14" width="12.625" customWidth="1"/>
    <col min="15" max="15" width="19.5" customWidth="1"/>
    <col min="16" max="16" width="15" customWidth="1"/>
    <col min="17" max="17" width="11" customWidth="1"/>
    <col min="18" max="18" width="13.875" customWidth="1"/>
    <col min="19" max="19" width="21.5" customWidth="1"/>
    <col min="21" max="21" width="16" customWidth="1"/>
    <col min="22" max="22" width="11.125" customWidth="1"/>
    <col min="23" max="23" width="15.875" customWidth="1"/>
    <col min="24" max="24" width="16.125" customWidth="1"/>
    <col min="25" max="25" width="14.625" customWidth="1"/>
    <col min="27" max="27" width="17.5" customWidth="1"/>
    <col min="29" max="29" width="16.125" customWidth="1"/>
    <col min="30" max="30" width="15.5" customWidth="1"/>
    <col min="31" max="31" width="10.875" customWidth="1"/>
    <col min="32" max="32" width="14.125" customWidth="1"/>
    <col min="33" max="33" width="14.625" customWidth="1"/>
    <col min="39" max="39" width="64.125" customWidth="1"/>
  </cols>
  <sheetData>
    <row r="2" spans="3:40" ht="17.100000000000001" thickBot="1"/>
    <row r="3" spans="3:40" ht="21.95" thickBot="1">
      <c r="C3" s="484" t="s">
        <v>0</v>
      </c>
      <c r="D3" s="485"/>
      <c r="E3" s="456"/>
      <c r="F3" s="456"/>
      <c r="G3" s="486" t="s">
        <v>459</v>
      </c>
      <c r="H3" s="487"/>
      <c r="I3" s="487"/>
      <c r="J3" s="487"/>
      <c r="K3" s="487"/>
      <c r="L3" s="487"/>
      <c r="M3" s="487"/>
      <c r="N3" s="487"/>
      <c r="O3" s="487"/>
      <c r="P3" s="487"/>
      <c r="Q3" s="487"/>
      <c r="R3" s="487"/>
      <c r="S3" s="487"/>
      <c r="T3" s="487"/>
      <c r="U3" s="487"/>
      <c r="V3" s="487"/>
      <c r="W3" s="487"/>
      <c r="X3" s="487"/>
      <c r="Y3" s="487"/>
      <c r="Z3" s="487"/>
      <c r="AA3" s="487"/>
      <c r="AB3" s="487"/>
      <c r="AC3" s="487"/>
      <c r="AD3" s="487"/>
      <c r="AE3" s="487"/>
      <c r="AF3" s="487"/>
      <c r="AG3" s="487"/>
      <c r="AH3" s="487"/>
      <c r="AI3" s="488"/>
      <c r="AJ3" s="459"/>
      <c r="AK3" s="53"/>
      <c r="AL3" s="489" t="s">
        <v>333</v>
      </c>
      <c r="AM3" s="490"/>
      <c r="AN3" s="491"/>
    </row>
    <row r="4" spans="3:40">
      <c r="C4" s="291" t="s">
        <v>1</v>
      </c>
      <c r="D4" s="288">
        <f>J30</f>
        <v>766.83999999999992</v>
      </c>
      <c r="E4" s="458"/>
      <c r="F4" s="458"/>
      <c r="G4" s="492" t="s">
        <v>460</v>
      </c>
      <c r="H4" s="493"/>
      <c r="I4" s="494"/>
      <c r="J4" s="495" t="s">
        <v>334</v>
      </c>
      <c r="K4" s="496"/>
      <c r="L4" s="497"/>
      <c r="M4" s="498" t="s">
        <v>335</v>
      </c>
      <c r="N4" s="497"/>
      <c r="O4" s="496" t="s">
        <v>336</v>
      </c>
      <c r="P4" s="496"/>
      <c r="Q4" s="498" t="s">
        <v>337</v>
      </c>
      <c r="R4" s="497"/>
      <c r="S4" s="498" t="s">
        <v>461</v>
      </c>
      <c r="T4" s="497"/>
      <c r="U4" s="498" t="s">
        <v>339</v>
      </c>
      <c r="V4" s="496"/>
      <c r="W4" s="310" t="s">
        <v>340</v>
      </c>
      <c r="X4" s="452" t="s">
        <v>9</v>
      </c>
      <c r="Y4" s="499" t="s">
        <v>159</v>
      </c>
      <c r="Z4" s="500"/>
      <c r="AA4" s="501" t="s">
        <v>11</v>
      </c>
      <c r="AB4" s="500"/>
      <c r="AC4" s="501" t="s">
        <v>162</v>
      </c>
      <c r="AD4" s="500"/>
      <c r="AE4" s="501" t="s">
        <v>163</v>
      </c>
      <c r="AF4" s="502"/>
      <c r="AG4" s="295" t="s">
        <v>224</v>
      </c>
      <c r="AH4" s="503" t="s">
        <v>341</v>
      </c>
      <c r="AI4" s="504"/>
      <c r="AJ4" s="458"/>
      <c r="AK4" s="53"/>
      <c r="AL4" s="281" t="s">
        <v>334</v>
      </c>
      <c r="AM4" s="284" t="s">
        <v>342</v>
      </c>
      <c r="AN4" s="279"/>
    </row>
    <row r="5" spans="3:40">
      <c r="C5" s="292" t="s">
        <v>154</v>
      </c>
      <c r="D5" s="289">
        <f>Y30</f>
        <v>375.15000000000003</v>
      </c>
      <c r="E5" s="56"/>
      <c r="F5" s="56"/>
      <c r="G5" s="171" t="s">
        <v>462</v>
      </c>
      <c r="H5" s="457" t="s">
        <v>6</v>
      </c>
      <c r="I5" s="58" t="s">
        <v>7</v>
      </c>
      <c r="J5" s="316" t="s">
        <v>462</v>
      </c>
      <c r="K5" s="64" t="s">
        <v>166</v>
      </c>
      <c r="L5" s="67" t="s">
        <v>7</v>
      </c>
      <c r="M5" s="87" t="s">
        <v>166</v>
      </c>
      <c r="N5" s="67" t="s">
        <v>7</v>
      </c>
      <c r="O5" s="64" t="s">
        <v>166</v>
      </c>
      <c r="P5" s="64" t="s">
        <v>7</v>
      </c>
      <c r="Q5" s="87" t="s">
        <v>166</v>
      </c>
      <c r="R5" s="64" t="s">
        <v>7</v>
      </c>
      <c r="S5" s="87" t="s">
        <v>166</v>
      </c>
      <c r="T5" s="64" t="s">
        <v>7</v>
      </c>
      <c r="U5" s="87" t="s">
        <v>166</v>
      </c>
      <c r="V5" s="64" t="s">
        <v>7</v>
      </c>
      <c r="W5" s="301" t="s">
        <v>7</v>
      </c>
      <c r="X5" s="169" t="s">
        <v>7</v>
      </c>
      <c r="Y5" s="446" t="s">
        <v>166</v>
      </c>
      <c r="Z5" s="67" t="s">
        <v>7</v>
      </c>
      <c r="AA5" s="64" t="s">
        <v>166</v>
      </c>
      <c r="AB5" s="64" t="s">
        <v>7</v>
      </c>
      <c r="AC5" s="87" t="s">
        <v>166</v>
      </c>
      <c r="AD5" s="67" t="s">
        <v>7</v>
      </c>
      <c r="AE5" s="64" t="s">
        <v>166</v>
      </c>
      <c r="AF5" s="64" t="s">
        <v>7</v>
      </c>
      <c r="AG5" s="296" t="s">
        <v>7</v>
      </c>
      <c r="AH5" s="448" t="s">
        <v>166</v>
      </c>
      <c r="AI5" s="447" t="s">
        <v>7</v>
      </c>
      <c r="AJ5" s="460"/>
      <c r="AK5" s="53"/>
      <c r="AL5" s="281" t="s">
        <v>335</v>
      </c>
      <c r="AM5" s="284" t="s">
        <v>343</v>
      </c>
      <c r="AN5" s="279"/>
    </row>
    <row r="6" spans="3:40">
      <c r="C6" s="293" t="s">
        <v>227</v>
      </c>
      <c r="D6" s="290">
        <f>D4+D5</f>
        <v>1141.99</v>
      </c>
      <c r="E6" s="56"/>
      <c r="F6" s="56"/>
      <c r="G6" s="171"/>
      <c r="H6" s="56" t="s">
        <v>175</v>
      </c>
      <c r="I6" s="62">
        <v>0.66</v>
      </c>
      <c r="J6" s="317" t="s">
        <v>463</v>
      </c>
      <c r="K6" s="53" t="s">
        <v>464</v>
      </c>
      <c r="L6" s="71">
        <v>350</v>
      </c>
      <c r="M6" s="75"/>
      <c r="N6" s="71"/>
      <c r="O6" s="53" t="s">
        <v>465</v>
      </c>
      <c r="P6" s="71">
        <v>11.14</v>
      </c>
      <c r="Q6" s="53" t="s">
        <v>183</v>
      </c>
      <c r="R6" s="71"/>
      <c r="S6" s="69" t="s">
        <v>466</v>
      </c>
      <c r="T6" s="71">
        <v>5</v>
      </c>
      <c r="U6" s="56" t="s">
        <v>467</v>
      </c>
      <c r="V6" s="56">
        <v>11</v>
      </c>
      <c r="W6" s="259">
        <v>8</v>
      </c>
      <c r="X6" s="75">
        <v>60</v>
      </c>
      <c r="Y6" s="171" t="s">
        <v>218</v>
      </c>
      <c r="Z6" s="71">
        <v>4</v>
      </c>
      <c r="AA6" s="69" t="s">
        <v>468</v>
      </c>
      <c r="AB6" s="71">
        <v>10.5</v>
      </c>
      <c r="AC6" s="53"/>
      <c r="AD6" s="71"/>
      <c r="AE6" s="53" t="s">
        <v>469</v>
      </c>
      <c r="AF6" s="70">
        <v>16.5</v>
      </c>
      <c r="AG6" s="56">
        <v>7.44</v>
      </c>
      <c r="AH6" s="61"/>
      <c r="AI6" s="70"/>
      <c r="AJ6" s="56"/>
      <c r="AK6" s="53"/>
      <c r="AL6" s="281" t="s">
        <v>350</v>
      </c>
      <c r="AM6" s="284" t="s">
        <v>351</v>
      </c>
      <c r="AN6" s="279"/>
    </row>
    <row r="7" spans="3:40">
      <c r="C7" s="294" t="s">
        <v>470</v>
      </c>
      <c r="D7" s="60">
        <f>I30</f>
        <v>22.6400000000001</v>
      </c>
      <c r="E7" s="56"/>
      <c r="F7" s="56"/>
      <c r="G7" s="171" t="s">
        <v>20</v>
      </c>
      <c r="H7" s="56" t="s">
        <v>133</v>
      </c>
      <c r="I7" s="62">
        <v>579.22</v>
      </c>
      <c r="J7" s="317" t="s">
        <v>471</v>
      </c>
      <c r="K7" s="53" t="s">
        <v>472</v>
      </c>
      <c r="L7" s="71">
        <v>5</v>
      </c>
      <c r="M7" s="75"/>
      <c r="N7" s="71"/>
      <c r="O7" s="53" t="s">
        <v>473</v>
      </c>
      <c r="P7" s="56">
        <v>2.5</v>
      </c>
      <c r="Q7" s="75"/>
      <c r="R7" s="56"/>
      <c r="S7" s="69" t="s">
        <v>474</v>
      </c>
      <c r="T7" s="71">
        <v>5</v>
      </c>
      <c r="U7" s="56" t="s">
        <v>266</v>
      </c>
      <c r="V7" s="56">
        <v>50</v>
      </c>
      <c r="W7" s="259">
        <v>10</v>
      </c>
      <c r="X7" s="75">
        <v>8.81</v>
      </c>
      <c r="Y7" s="171" t="s">
        <v>287</v>
      </c>
      <c r="Z7" s="71">
        <v>7.22</v>
      </c>
      <c r="AA7" s="53" t="s">
        <v>475</v>
      </c>
      <c r="AB7" s="56">
        <v>4</v>
      </c>
      <c r="AC7" s="75" t="s">
        <v>476</v>
      </c>
      <c r="AD7" s="71">
        <v>7.99</v>
      </c>
      <c r="AE7" s="53" t="s">
        <v>477</v>
      </c>
      <c r="AF7" s="56">
        <v>4</v>
      </c>
      <c r="AG7" s="297"/>
      <c r="AH7" s="61"/>
      <c r="AI7" s="70"/>
      <c r="AJ7" s="56"/>
      <c r="AK7" s="53"/>
      <c r="AL7" s="281" t="s">
        <v>357</v>
      </c>
      <c r="AM7" s="284" t="s">
        <v>358</v>
      </c>
      <c r="AN7" s="279"/>
    </row>
    <row r="8" spans="3:40">
      <c r="C8" s="72"/>
      <c r="D8" s="126"/>
      <c r="E8" s="56"/>
      <c r="F8" s="56"/>
      <c r="G8" s="373" t="s">
        <v>58</v>
      </c>
      <c r="H8" s="56" t="s">
        <v>133</v>
      </c>
      <c r="I8" s="62">
        <v>341.76</v>
      </c>
      <c r="J8" s="317"/>
      <c r="K8" s="53"/>
      <c r="L8" s="71"/>
      <c r="M8" s="75"/>
      <c r="N8" s="71"/>
      <c r="O8" s="56" t="s">
        <v>478</v>
      </c>
      <c r="P8" s="56">
        <v>11</v>
      </c>
      <c r="Q8" s="75"/>
      <c r="R8" s="56"/>
      <c r="S8" s="75" t="s">
        <v>479</v>
      </c>
      <c r="T8" s="71">
        <v>5</v>
      </c>
      <c r="U8" s="56"/>
      <c r="V8" s="56"/>
      <c r="W8" s="259">
        <v>30</v>
      </c>
      <c r="X8" s="75">
        <v>6.82</v>
      </c>
      <c r="Y8" s="171" t="s">
        <v>287</v>
      </c>
      <c r="Z8" s="71">
        <v>6.4</v>
      </c>
      <c r="AA8" s="53" t="s">
        <v>480</v>
      </c>
      <c r="AB8" s="56">
        <v>4.5</v>
      </c>
      <c r="AC8" s="75" t="s">
        <v>481</v>
      </c>
      <c r="AD8" s="71">
        <v>6.61</v>
      </c>
      <c r="AE8" s="53"/>
      <c r="AF8" s="56"/>
      <c r="AG8" s="297"/>
      <c r="AH8" s="61"/>
      <c r="AI8" s="70"/>
      <c r="AJ8" s="56"/>
      <c r="AK8" s="53"/>
      <c r="AL8" s="281" t="s">
        <v>363</v>
      </c>
      <c r="AM8" s="284" t="s">
        <v>364</v>
      </c>
      <c r="AN8" s="279"/>
    </row>
    <row r="9" spans="3:40">
      <c r="C9" s="53"/>
      <c r="D9" s="56"/>
      <c r="E9" s="56"/>
      <c r="F9" s="56"/>
      <c r="G9" s="373"/>
      <c r="H9" s="56" t="s">
        <v>482</v>
      </c>
      <c r="I9" s="62">
        <v>242.99</v>
      </c>
      <c r="J9" s="317"/>
      <c r="K9" s="53"/>
      <c r="L9" s="71"/>
      <c r="M9" s="75"/>
      <c r="N9" s="71"/>
      <c r="O9" s="56" t="s">
        <v>483</v>
      </c>
      <c r="P9" s="56">
        <v>7.99</v>
      </c>
      <c r="Q9" s="75"/>
      <c r="R9" s="56"/>
      <c r="S9" s="75"/>
      <c r="T9" s="71"/>
      <c r="U9" s="56"/>
      <c r="V9" s="56"/>
      <c r="W9" s="259"/>
      <c r="X9" s="273"/>
      <c r="Y9" s="56" t="s">
        <v>287</v>
      </c>
      <c r="Z9" s="71">
        <v>6.2</v>
      </c>
      <c r="AA9" s="53" t="s">
        <v>484</v>
      </c>
      <c r="AB9" s="56">
        <v>13.99</v>
      </c>
      <c r="AC9" s="75"/>
      <c r="AD9" s="71"/>
      <c r="AE9" s="53"/>
      <c r="AF9" s="56"/>
      <c r="AG9" s="297"/>
      <c r="AH9" s="61"/>
      <c r="AI9" s="70"/>
      <c r="AJ9" s="56"/>
      <c r="AK9" s="53"/>
      <c r="AL9" s="281" t="s">
        <v>201</v>
      </c>
      <c r="AM9" s="285" t="s">
        <v>202</v>
      </c>
      <c r="AN9" s="279"/>
    </row>
    <row r="10" spans="3:40">
      <c r="C10" s="483" t="s">
        <v>392</v>
      </c>
      <c r="D10" s="483"/>
      <c r="E10" s="56"/>
      <c r="F10" s="56"/>
      <c r="G10" s="171"/>
      <c r="H10" s="56"/>
      <c r="I10" s="62"/>
      <c r="J10" s="317"/>
      <c r="K10" s="53"/>
      <c r="L10" s="71"/>
      <c r="M10" s="75"/>
      <c r="N10" s="71"/>
      <c r="O10" s="56" t="s">
        <v>485</v>
      </c>
      <c r="P10" s="56">
        <v>30</v>
      </c>
      <c r="Q10" s="75"/>
      <c r="R10" s="56"/>
      <c r="S10" s="75"/>
      <c r="T10" s="71"/>
      <c r="U10" s="56"/>
      <c r="V10" s="56"/>
      <c r="W10" s="259"/>
      <c r="X10" s="273">
        <v>5.92</v>
      </c>
      <c r="Y10" s="56" t="s">
        <v>486</v>
      </c>
      <c r="Z10" s="71">
        <v>5</v>
      </c>
      <c r="AA10" s="53" t="s">
        <v>487</v>
      </c>
      <c r="AB10" s="56">
        <v>10</v>
      </c>
      <c r="AC10" s="75"/>
      <c r="AD10" s="71"/>
      <c r="AE10" s="53"/>
      <c r="AF10" s="56"/>
      <c r="AG10" s="297"/>
      <c r="AH10" s="61"/>
      <c r="AI10" s="70"/>
      <c r="AJ10" s="56"/>
      <c r="AK10" s="53"/>
      <c r="AL10" s="281" t="s">
        <v>340</v>
      </c>
      <c r="AM10" s="285" t="s">
        <v>367</v>
      </c>
      <c r="AN10" s="279"/>
    </row>
    <row r="11" spans="3:40">
      <c r="C11" s="248" t="s">
        <v>394</v>
      </c>
      <c r="D11" s="249">
        <v>3744.88</v>
      </c>
      <c r="E11" s="458"/>
      <c r="F11" s="458"/>
      <c r="G11" s="311"/>
      <c r="H11" s="56"/>
      <c r="I11" s="62"/>
      <c r="J11" s="317"/>
      <c r="K11" s="53"/>
      <c r="L11" s="71"/>
      <c r="M11" s="75"/>
      <c r="N11" s="71"/>
      <c r="O11" s="56" t="s">
        <v>488</v>
      </c>
      <c r="P11" s="56">
        <v>7.5</v>
      </c>
      <c r="Q11" s="75"/>
      <c r="R11" s="56"/>
      <c r="S11" s="75"/>
      <c r="T11" s="71"/>
      <c r="U11" s="56"/>
      <c r="V11" s="56"/>
      <c r="W11" s="259"/>
      <c r="X11" s="75">
        <v>10.68</v>
      </c>
      <c r="Y11" s="171" t="s">
        <v>489</v>
      </c>
      <c r="Z11" s="71">
        <v>6</v>
      </c>
      <c r="AA11" s="53" t="s">
        <v>490</v>
      </c>
      <c r="AB11" s="56">
        <v>180</v>
      </c>
      <c r="AC11" s="75"/>
      <c r="AD11" s="71"/>
      <c r="AE11" s="53"/>
      <c r="AF11" s="56"/>
      <c r="AG11" s="297"/>
      <c r="AH11" s="61"/>
      <c r="AI11" s="70"/>
      <c r="AJ11" s="56"/>
      <c r="AK11" s="53"/>
      <c r="AL11" s="281" t="s">
        <v>9</v>
      </c>
      <c r="AM11" s="285" t="s">
        <v>210</v>
      </c>
      <c r="AN11" s="279"/>
    </row>
    <row r="12" spans="3:40">
      <c r="C12" s="248" t="s">
        <v>396</v>
      </c>
      <c r="D12" s="249">
        <f>I26</f>
        <v>0</v>
      </c>
      <c r="E12" s="77"/>
      <c r="F12" s="77"/>
      <c r="G12" s="312"/>
      <c r="H12" s="56"/>
      <c r="I12" s="76"/>
      <c r="J12" s="280"/>
      <c r="K12" s="53"/>
      <c r="L12" s="71"/>
      <c r="M12" s="75"/>
      <c r="N12" s="71"/>
      <c r="O12" s="56"/>
      <c r="P12" s="56"/>
      <c r="Q12" s="75"/>
      <c r="R12" s="56"/>
      <c r="S12" s="75"/>
      <c r="T12" s="71"/>
      <c r="U12" s="56"/>
      <c r="V12" s="56"/>
      <c r="W12" s="259"/>
      <c r="X12" s="75">
        <v>14.26</v>
      </c>
      <c r="Y12" s="171" t="s">
        <v>169</v>
      </c>
      <c r="Z12" s="71">
        <v>10</v>
      </c>
      <c r="AA12" s="53"/>
      <c r="AB12" s="56"/>
      <c r="AC12" s="75"/>
      <c r="AD12" s="71"/>
      <c r="AE12" s="53"/>
      <c r="AF12" s="56"/>
      <c r="AG12" s="297"/>
      <c r="AH12" s="61"/>
      <c r="AI12" s="70"/>
      <c r="AJ12" s="56"/>
      <c r="AK12" s="53"/>
      <c r="AL12" s="282" t="s">
        <v>159</v>
      </c>
      <c r="AM12" s="286" t="s">
        <v>368</v>
      </c>
      <c r="AN12" s="276"/>
    </row>
    <row r="13" spans="3:40">
      <c r="C13" s="256" t="s">
        <v>491</v>
      </c>
      <c r="D13" s="362">
        <v>410</v>
      </c>
      <c r="E13" s="77"/>
      <c r="F13" s="77"/>
      <c r="G13" s="312"/>
      <c r="H13" s="77"/>
      <c r="I13" s="76"/>
      <c r="J13" s="280"/>
      <c r="K13" s="53"/>
      <c r="L13" s="71"/>
      <c r="M13" s="75"/>
      <c r="N13" s="71"/>
      <c r="O13" s="56"/>
      <c r="P13" s="56"/>
      <c r="Q13" s="75"/>
      <c r="R13" s="56"/>
      <c r="S13" s="75"/>
      <c r="T13" s="71"/>
      <c r="U13" s="56"/>
      <c r="V13" s="56"/>
      <c r="W13" s="259"/>
      <c r="X13" s="75">
        <v>4.74</v>
      </c>
      <c r="Y13" s="171" t="s">
        <v>486</v>
      </c>
      <c r="Z13" s="71">
        <v>5.8</v>
      </c>
      <c r="AA13" s="53"/>
      <c r="AB13" s="56"/>
      <c r="AC13" s="75"/>
      <c r="AD13" s="71"/>
      <c r="AE13" s="53"/>
      <c r="AF13" s="56"/>
      <c r="AG13" s="297"/>
      <c r="AH13" s="61"/>
      <c r="AI13" s="70"/>
      <c r="AJ13" s="56"/>
      <c r="AK13" s="53"/>
      <c r="AL13" s="282" t="s">
        <v>161</v>
      </c>
      <c r="AM13" s="287" t="s">
        <v>369</v>
      </c>
      <c r="AN13" s="276"/>
    </row>
    <row r="14" spans="3:40">
      <c r="C14" s="257" t="s">
        <v>452</v>
      </c>
      <c r="D14" s="362">
        <v>500</v>
      </c>
      <c r="E14" s="77"/>
      <c r="F14" s="77"/>
      <c r="G14" s="312"/>
      <c r="H14" s="77"/>
      <c r="I14" s="76"/>
      <c r="J14" s="280"/>
      <c r="K14" s="53"/>
      <c r="L14" s="71"/>
      <c r="M14" s="75"/>
      <c r="N14" s="71"/>
      <c r="O14" s="56"/>
      <c r="P14" s="56"/>
      <c r="Q14" s="75"/>
      <c r="R14" s="56"/>
      <c r="S14" s="75"/>
      <c r="T14" s="71"/>
      <c r="U14" s="56"/>
      <c r="V14" s="56"/>
      <c r="W14" s="259"/>
      <c r="X14" s="75">
        <v>78</v>
      </c>
      <c r="Y14" s="171" t="s">
        <v>492</v>
      </c>
      <c r="Z14" s="71">
        <v>27.5</v>
      </c>
      <c r="AA14" s="53"/>
      <c r="AB14" s="56"/>
      <c r="AC14" s="75"/>
      <c r="AD14" s="71"/>
      <c r="AE14" s="53"/>
      <c r="AF14" s="56"/>
      <c r="AG14" s="297"/>
      <c r="AH14" s="61"/>
      <c r="AI14" s="70"/>
      <c r="AJ14" s="56"/>
      <c r="AK14" s="53"/>
      <c r="AL14" s="282" t="s">
        <v>162</v>
      </c>
      <c r="AM14" s="287" t="s">
        <v>370</v>
      </c>
      <c r="AN14" s="276"/>
    </row>
    <row r="15" spans="3:40">
      <c r="C15" s="369" t="s">
        <v>280</v>
      </c>
      <c r="D15" s="370">
        <v>200</v>
      </c>
      <c r="E15" s="77" t="s">
        <v>493</v>
      </c>
      <c r="F15" s="77"/>
      <c r="G15" s="312"/>
      <c r="H15" s="56"/>
      <c r="I15" s="62"/>
      <c r="J15" s="317"/>
      <c r="K15" s="53"/>
      <c r="L15" s="71"/>
      <c r="M15" s="75"/>
      <c r="N15" s="71"/>
      <c r="O15" s="56"/>
      <c r="P15" s="56"/>
      <c r="Q15" s="75"/>
      <c r="R15" s="56"/>
      <c r="S15" s="69"/>
      <c r="T15" s="71"/>
      <c r="U15" s="56"/>
      <c r="V15" s="56"/>
      <c r="W15" s="259"/>
      <c r="X15" s="75">
        <v>17.73</v>
      </c>
      <c r="Y15" s="171" t="s">
        <v>489</v>
      </c>
      <c r="Z15" s="71">
        <v>7.8</v>
      </c>
      <c r="AA15" s="53"/>
      <c r="AB15" s="56"/>
      <c r="AC15" s="75"/>
      <c r="AD15" s="71"/>
      <c r="AE15" s="53"/>
      <c r="AF15" s="56"/>
      <c r="AG15" s="297"/>
      <c r="AH15" s="61"/>
      <c r="AI15" s="70"/>
      <c r="AJ15" s="56"/>
      <c r="AK15" s="53"/>
      <c r="AL15" s="282" t="s">
        <v>163</v>
      </c>
      <c r="AM15" s="286" t="s">
        <v>371</v>
      </c>
      <c r="AN15" s="276"/>
    </row>
    <row r="16" spans="3:40">
      <c r="C16" s="250" t="s">
        <v>494</v>
      </c>
      <c r="D16" s="374">
        <v>-385</v>
      </c>
      <c r="E16" s="56"/>
      <c r="F16" s="56"/>
      <c r="G16" s="171"/>
      <c r="H16" s="458"/>
      <c r="I16" s="80"/>
      <c r="J16" s="318"/>
      <c r="K16" s="53"/>
      <c r="L16" s="71"/>
      <c r="M16" s="75"/>
      <c r="N16" s="71"/>
      <c r="O16" s="56"/>
      <c r="P16" s="56"/>
      <c r="Q16" s="75"/>
      <c r="R16" s="56"/>
      <c r="S16" s="75"/>
      <c r="T16" s="71"/>
      <c r="U16" s="56"/>
      <c r="V16" s="56"/>
      <c r="W16" s="259"/>
      <c r="X16" s="75">
        <v>1.4</v>
      </c>
      <c r="Y16" s="171" t="s">
        <v>489</v>
      </c>
      <c r="Z16" s="71">
        <v>3.5</v>
      </c>
      <c r="AA16" s="53"/>
      <c r="AB16" s="56"/>
      <c r="AC16" s="75"/>
      <c r="AD16" s="71"/>
      <c r="AE16" s="53"/>
      <c r="AF16" s="56"/>
      <c r="AG16" s="297"/>
      <c r="AH16" s="61"/>
      <c r="AI16" s="70"/>
      <c r="AJ16" s="56"/>
      <c r="AK16" s="53"/>
      <c r="AL16" s="282" t="s">
        <v>224</v>
      </c>
      <c r="AM16" s="287" t="s">
        <v>225</v>
      </c>
      <c r="AN16" s="276"/>
    </row>
    <row r="17" spans="3:40" ht="17.100000000000001" thickBot="1">
      <c r="C17" s="361" t="s">
        <v>495</v>
      </c>
      <c r="D17" s="258">
        <v>-177</v>
      </c>
      <c r="E17" s="458"/>
      <c r="F17" s="458"/>
      <c r="G17" s="311"/>
      <c r="H17" s="77"/>
      <c r="I17" s="76"/>
      <c r="J17" s="280"/>
      <c r="K17" s="53"/>
      <c r="L17" s="71"/>
      <c r="M17" s="75"/>
      <c r="N17" s="71"/>
      <c r="O17" s="56"/>
      <c r="P17" s="56"/>
      <c r="Q17" s="75"/>
      <c r="R17" s="56"/>
      <c r="S17" s="75"/>
      <c r="T17" s="71"/>
      <c r="U17" s="56"/>
      <c r="V17" s="56"/>
      <c r="W17" s="259"/>
      <c r="X17" s="75">
        <v>2.7</v>
      </c>
      <c r="Y17" s="171" t="s">
        <v>492</v>
      </c>
      <c r="Z17" s="71">
        <v>10</v>
      </c>
      <c r="AA17" s="53"/>
      <c r="AB17" s="56"/>
      <c r="AC17" s="75"/>
      <c r="AD17" s="71"/>
      <c r="AE17" s="53"/>
      <c r="AF17" s="76"/>
      <c r="AG17" s="298"/>
      <c r="AH17" s="255"/>
      <c r="AI17" s="81"/>
      <c r="AJ17" s="76"/>
      <c r="AK17" s="53"/>
      <c r="AL17" s="283" t="s">
        <v>341</v>
      </c>
      <c r="AM17" s="277" t="s">
        <v>372</v>
      </c>
      <c r="AN17" s="278"/>
    </row>
    <row r="18" spans="3:40">
      <c r="C18" s="371" t="s">
        <v>227</v>
      </c>
      <c r="D18" s="372">
        <f>SUM(D11:D17)</f>
        <v>4292.88</v>
      </c>
      <c r="E18" s="77"/>
      <c r="F18" s="77"/>
      <c r="G18" s="312"/>
      <c r="H18" s="77"/>
      <c r="I18" s="76"/>
      <c r="J18" s="280"/>
      <c r="K18" s="53"/>
      <c r="L18" s="71"/>
      <c r="M18" s="75"/>
      <c r="N18" s="71"/>
      <c r="O18" s="56"/>
      <c r="P18" s="56"/>
      <c r="Q18" s="75"/>
      <c r="R18" s="56"/>
      <c r="S18" s="75"/>
      <c r="T18" s="71"/>
      <c r="U18" s="56"/>
      <c r="V18" s="56"/>
      <c r="W18" s="259"/>
      <c r="X18" s="75">
        <v>6.65</v>
      </c>
      <c r="Y18" s="171" t="s">
        <v>169</v>
      </c>
      <c r="Z18" s="71">
        <v>6</v>
      </c>
      <c r="AA18" s="53"/>
      <c r="AB18" s="56"/>
      <c r="AC18" s="75"/>
      <c r="AD18" s="71"/>
      <c r="AE18" s="53"/>
      <c r="AF18" s="56"/>
      <c r="AG18" s="297"/>
      <c r="AH18" s="61"/>
      <c r="AI18" s="70"/>
      <c r="AJ18" s="56"/>
      <c r="AK18" s="53"/>
      <c r="AL18" s="53"/>
    </row>
    <row r="19" spans="3:40">
      <c r="C19" s="53"/>
      <c r="D19" s="53"/>
      <c r="E19" s="77"/>
      <c r="F19" s="77"/>
      <c r="G19" s="312"/>
      <c r="H19" s="77"/>
      <c r="I19" s="76"/>
      <c r="J19" s="280"/>
      <c r="K19" s="53"/>
      <c r="L19" s="71"/>
      <c r="M19" s="75"/>
      <c r="N19" s="71"/>
      <c r="O19" s="56"/>
      <c r="P19" s="56"/>
      <c r="Q19" s="75"/>
      <c r="R19" s="56"/>
      <c r="S19" s="75"/>
      <c r="T19" s="71"/>
      <c r="U19" s="56"/>
      <c r="V19" s="56"/>
      <c r="W19" s="259"/>
      <c r="X19" s="75"/>
      <c r="Y19" s="171" t="s">
        <v>496</v>
      </c>
      <c r="Z19" s="71">
        <v>4.2</v>
      </c>
      <c r="AA19" s="53"/>
      <c r="AB19" s="56"/>
      <c r="AC19" s="75"/>
      <c r="AD19" s="71"/>
      <c r="AE19" s="53"/>
      <c r="AF19" s="56"/>
      <c r="AG19" s="297"/>
      <c r="AH19" s="61"/>
      <c r="AI19" s="70"/>
      <c r="AJ19" s="56"/>
      <c r="AK19" s="53"/>
      <c r="AL19" s="53"/>
    </row>
    <row r="20" spans="3:40">
      <c r="C20" s="53"/>
      <c r="D20" s="53"/>
      <c r="E20" s="77"/>
      <c r="F20" s="77"/>
      <c r="G20" s="312"/>
      <c r="H20" s="77"/>
      <c r="I20" s="76"/>
      <c r="J20" s="280"/>
      <c r="K20" s="53"/>
      <c r="L20" s="71"/>
      <c r="M20" s="75"/>
      <c r="N20" s="71"/>
      <c r="O20" s="56"/>
      <c r="P20" s="56"/>
      <c r="Q20" s="75"/>
      <c r="R20" s="56"/>
      <c r="S20" s="75"/>
      <c r="T20" s="71"/>
      <c r="U20" s="56"/>
      <c r="V20" s="56"/>
      <c r="W20" s="259"/>
      <c r="X20" s="75"/>
      <c r="Y20" s="171"/>
      <c r="Z20" s="71"/>
      <c r="AA20" s="53"/>
      <c r="AB20" s="56"/>
      <c r="AC20" s="75"/>
      <c r="AD20" s="71"/>
      <c r="AE20" s="53"/>
      <c r="AF20" s="56"/>
      <c r="AG20" s="297"/>
      <c r="AH20" s="61"/>
      <c r="AI20" s="70"/>
      <c r="AJ20" s="56"/>
      <c r="AK20" s="53"/>
      <c r="AL20" s="53"/>
    </row>
    <row r="21" spans="3:40">
      <c r="C21" s="53"/>
      <c r="D21" s="53"/>
      <c r="E21" s="77"/>
      <c r="F21" s="77"/>
      <c r="G21" s="312"/>
      <c r="H21" s="53"/>
      <c r="I21" s="74"/>
      <c r="J21" s="319"/>
      <c r="K21" s="53"/>
      <c r="L21" s="71"/>
      <c r="M21" s="75"/>
      <c r="N21" s="71"/>
      <c r="O21" s="56"/>
      <c r="P21" s="56"/>
      <c r="Q21" s="75"/>
      <c r="R21" s="56"/>
      <c r="S21" s="75"/>
      <c r="T21" s="71"/>
      <c r="U21" s="56"/>
      <c r="V21" s="56"/>
      <c r="W21" s="259"/>
      <c r="X21" s="75"/>
      <c r="Y21" s="171"/>
      <c r="Z21" s="71"/>
      <c r="AA21" s="53"/>
      <c r="AB21" s="56"/>
      <c r="AC21" s="75"/>
      <c r="AD21" s="71"/>
      <c r="AE21" s="53"/>
      <c r="AF21" s="56"/>
      <c r="AG21" s="297"/>
      <c r="AH21" s="61"/>
      <c r="AI21" s="70"/>
      <c r="AJ21" s="56"/>
      <c r="AK21" s="53"/>
      <c r="AL21" s="53"/>
      <c r="AN21" s="112"/>
    </row>
    <row r="22" spans="3:40">
      <c r="C22" s="53"/>
      <c r="D22" s="53"/>
      <c r="E22" s="77"/>
      <c r="F22" s="77"/>
      <c r="G22" s="312"/>
      <c r="H22" s="53"/>
      <c r="I22" s="74"/>
      <c r="J22" s="319"/>
      <c r="K22" s="53"/>
      <c r="L22" s="71"/>
      <c r="M22" s="75"/>
      <c r="N22" s="71"/>
      <c r="O22" s="56"/>
      <c r="P22" s="56"/>
      <c r="Q22" s="75"/>
      <c r="R22" s="56"/>
      <c r="S22" s="75"/>
      <c r="T22" s="71"/>
      <c r="U22" s="56"/>
      <c r="V22" s="56"/>
      <c r="W22" s="259"/>
      <c r="X22" s="75"/>
      <c r="Y22" s="171"/>
      <c r="Z22" s="71"/>
      <c r="AA22" s="53"/>
      <c r="AB22" s="56"/>
      <c r="AC22" s="75"/>
      <c r="AD22" s="71"/>
      <c r="AE22" s="53"/>
      <c r="AF22" s="56"/>
      <c r="AG22" s="297"/>
      <c r="AH22" s="61"/>
      <c r="AI22" s="70"/>
      <c r="AJ22" s="56"/>
      <c r="AK22" s="53"/>
      <c r="AL22" s="53"/>
      <c r="AN22" s="112"/>
    </row>
    <row r="23" spans="3:40">
      <c r="C23" s="53"/>
      <c r="D23" s="53"/>
      <c r="E23" s="77"/>
      <c r="F23" s="77"/>
      <c r="G23" s="312"/>
      <c r="H23" s="53"/>
      <c r="I23" s="74"/>
      <c r="J23" s="319"/>
      <c r="K23" s="53"/>
      <c r="L23" s="71"/>
      <c r="M23" s="75"/>
      <c r="N23" s="71"/>
      <c r="O23" s="56"/>
      <c r="P23" s="56"/>
      <c r="Q23" s="75"/>
      <c r="R23" s="56"/>
      <c r="S23" s="75"/>
      <c r="T23" s="71"/>
      <c r="U23" s="56"/>
      <c r="V23" s="56"/>
      <c r="W23" s="259"/>
      <c r="X23" s="75"/>
      <c r="Y23" s="171"/>
      <c r="Z23" s="71"/>
      <c r="AA23" s="53"/>
      <c r="AB23" s="56"/>
      <c r="AC23" s="75"/>
      <c r="AD23" s="71"/>
      <c r="AE23" s="53"/>
      <c r="AF23" s="56"/>
      <c r="AG23" s="297"/>
      <c r="AH23" s="61"/>
      <c r="AI23" s="70"/>
      <c r="AJ23" s="56"/>
      <c r="AK23" s="53"/>
      <c r="AL23" s="53"/>
      <c r="AN23" s="112"/>
    </row>
    <row r="24" spans="3:40">
      <c r="C24" s="53"/>
      <c r="D24" s="53"/>
      <c r="E24" s="53"/>
      <c r="F24" s="53"/>
      <c r="G24" s="166"/>
      <c r="H24" s="53"/>
      <c r="I24" s="74"/>
      <c r="J24" s="319"/>
      <c r="K24" s="53"/>
      <c r="L24" s="71"/>
      <c r="M24" s="75"/>
      <c r="N24" s="71"/>
      <c r="O24" s="56"/>
      <c r="P24" s="56"/>
      <c r="Q24" s="75"/>
      <c r="R24" s="56"/>
      <c r="S24" s="75"/>
      <c r="T24" s="71"/>
      <c r="U24" s="56"/>
      <c r="V24" s="56"/>
      <c r="W24" s="259"/>
      <c r="X24" s="75"/>
      <c r="Y24" s="171"/>
      <c r="Z24" s="71"/>
      <c r="AA24" s="53"/>
      <c r="AB24" s="56"/>
      <c r="AC24" s="75"/>
      <c r="AD24" s="71"/>
      <c r="AE24" s="53"/>
      <c r="AF24" s="56"/>
      <c r="AG24" s="297"/>
      <c r="AH24" s="61"/>
      <c r="AI24" s="70"/>
      <c r="AJ24" s="56"/>
      <c r="AK24" s="53"/>
      <c r="AL24" s="53"/>
      <c r="AN24" s="112"/>
    </row>
    <row r="25" spans="3:40">
      <c r="C25" s="53"/>
      <c r="D25" s="53"/>
      <c r="E25" s="53"/>
      <c r="F25" s="53"/>
      <c r="G25" s="166"/>
      <c r="H25" s="53" t="s">
        <v>227</v>
      </c>
      <c r="I25" s="62">
        <f>SUM(I6:I24)</f>
        <v>1164.6300000000001</v>
      </c>
      <c r="J25" s="317"/>
      <c r="K25" s="53"/>
      <c r="L25" s="71"/>
      <c r="M25" s="75"/>
      <c r="N25" s="71"/>
      <c r="O25" s="56"/>
      <c r="P25" s="56"/>
      <c r="Q25" s="75"/>
      <c r="R25" s="56"/>
      <c r="S25" s="75"/>
      <c r="T25" s="71"/>
      <c r="U25" s="56"/>
      <c r="V25" s="56"/>
      <c r="W25" s="259"/>
      <c r="X25" s="75"/>
      <c r="Y25" s="171"/>
      <c r="Z25" s="71"/>
      <c r="AA25" s="53"/>
      <c r="AB25" s="56"/>
      <c r="AC25" s="75"/>
      <c r="AD25" s="71"/>
      <c r="AE25" s="53"/>
      <c r="AF25" s="56"/>
      <c r="AG25" s="297"/>
      <c r="AH25" s="61"/>
      <c r="AI25" s="70"/>
      <c r="AJ25" s="56"/>
      <c r="AK25" s="53"/>
      <c r="AL25" s="53"/>
      <c r="AN25" s="112"/>
    </row>
    <row r="26" spans="3:40">
      <c r="C26" s="53"/>
      <c r="D26" s="53"/>
      <c r="E26" s="53"/>
      <c r="F26" s="53"/>
      <c r="G26" s="166"/>
      <c r="H26" s="53" t="s">
        <v>16</v>
      </c>
      <c r="I26" s="62">
        <v>0</v>
      </c>
      <c r="J26" s="317"/>
      <c r="K26" s="53"/>
      <c r="L26" s="71"/>
      <c r="M26" s="75"/>
      <c r="N26" s="71"/>
      <c r="O26" s="56"/>
      <c r="P26" s="56"/>
      <c r="Q26" s="75"/>
      <c r="R26" s="56"/>
      <c r="S26" s="75"/>
      <c r="T26" s="71"/>
      <c r="U26" s="56"/>
      <c r="V26" s="56"/>
      <c r="W26" s="259"/>
      <c r="X26" s="75"/>
      <c r="Y26" s="171"/>
      <c r="Z26" s="71"/>
      <c r="AA26" s="53"/>
      <c r="AB26" s="56"/>
      <c r="AC26" s="75"/>
      <c r="AD26" s="71"/>
      <c r="AE26" s="53"/>
      <c r="AF26" s="56"/>
      <c r="AG26" s="297"/>
      <c r="AH26" s="61"/>
      <c r="AI26" s="70"/>
      <c r="AJ26" s="56"/>
      <c r="AK26" s="53"/>
      <c r="AL26" s="53"/>
      <c r="AN26" s="112"/>
    </row>
    <row r="27" spans="3:40">
      <c r="C27" s="53"/>
      <c r="D27" s="53"/>
      <c r="E27" s="53"/>
      <c r="F27" s="53"/>
      <c r="G27" s="166"/>
      <c r="H27" s="53" t="s">
        <v>373</v>
      </c>
      <c r="I27" s="62">
        <v>0</v>
      </c>
      <c r="J27" s="317"/>
      <c r="K27" s="53"/>
      <c r="L27" s="71"/>
      <c r="M27" s="75"/>
      <c r="N27" s="71"/>
      <c r="O27" s="56"/>
      <c r="P27" s="56"/>
      <c r="Q27" s="75"/>
      <c r="R27" s="56"/>
      <c r="S27" s="75"/>
      <c r="T27" s="71"/>
      <c r="U27" s="56"/>
      <c r="V27" s="56"/>
      <c r="W27" s="259"/>
      <c r="X27" s="75"/>
      <c r="Y27" s="171"/>
      <c r="Z27" s="71"/>
      <c r="AA27" s="53"/>
      <c r="AB27" s="56"/>
      <c r="AC27" s="75"/>
      <c r="AD27" s="71"/>
      <c r="AE27" s="53"/>
      <c r="AF27" s="56"/>
      <c r="AG27" s="297"/>
      <c r="AH27" s="61"/>
      <c r="AI27" s="70"/>
      <c r="AJ27" s="56"/>
      <c r="AK27" s="53"/>
      <c r="AL27" s="53"/>
    </row>
    <row r="28" spans="3:40">
      <c r="C28" s="53"/>
      <c r="D28" s="53"/>
      <c r="E28" s="53"/>
      <c r="F28" s="53"/>
      <c r="G28" s="166"/>
      <c r="H28" s="53"/>
      <c r="I28" s="62"/>
      <c r="J28" s="317"/>
      <c r="K28" s="53"/>
      <c r="L28" s="71"/>
      <c r="M28" s="75"/>
      <c r="N28" s="71"/>
      <c r="O28" s="56"/>
      <c r="P28" s="56"/>
      <c r="Q28" s="75"/>
      <c r="R28" s="56"/>
      <c r="S28" s="75"/>
      <c r="T28" s="71"/>
      <c r="U28" s="56"/>
      <c r="V28" s="56"/>
      <c r="W28" s="259"/>
      <c r="X28" s="75"/>
      <c r="Y28" s="171"/>
      <c r="Z28" s="71"/>
      <c r="AA28" s="53"/>
      <c r="AB28" s="56"/>
      <c r="AC28" s="75"/>
      <c r="AD28" s="71"/>
      <c r="AE28" s="53"/>
      <c r="AF28" s="56"/>
      <c r="AG28" s="297"/>
      <c r="AH28" s="61"/>
      <c r="AI28" s="70"/>
      <c r="AJ28" s="56"/>
      <c r="AK28" s="53"/>
      <c r="AL28" s="53"/>
    </row>
    <row r="29" spans="3:40">
      <c r="E29" s="53"/>
      <c r="F29" s="53"/>
      <c r="G29" s="478" t="s">
        <v>229</v>
      </c>
      <c r="H29" s="479"/>
      <c r="I29" s="313">
        <f>I25-I26-I27-I28</f>
        <v>1164.6300000000001</v>
      </c>
      <c r="J29" s="480">
        <f>SUM(L6:L28)</f>
        <v>355</v>
      </c>
      <c r="K29" s="480"/>
      <c r="L29" s="481"/>
      <c r="M29" s="482">
        <f>SUM(N6:N28)</f>
        <v>0</v>
      </c>
      <c r="N29" s="481"/>
      <c r="O29" s="480">
        <f>SUM(P6:P28)</f>
        <v>70.13</v>
      </c>
      <c r="P29" s="480"/>
      <c r="Q29" s="482">
        <f>SUM(R6:R28)</f>
        <v>0</v>
      </c>
      <c r="R29" s="481"/>
      <c r="S29" s="482">
        <f>SUM(T6:T28)</f>
        <v>15</v>
      </c>
      <c r="T29" s="481"/>
      <c r="U29" s="471">
        <f>SUM(V6:V28)</f>
        <v>61</v>
      </c>
      <c r="V29" s="471"/>
      <c r="W29" s="315">
        <f>SUM(W6:W28)</f>
        <v>48</v>
      </c>
      <c r="X29" s="275">
        <f>SUM(X6:X28)</f>
        <v>217.70999999999998</v>
      </c>
      <c r="Y29" s="472">
        <f>SUM(Z6:Z28)</f>
        <v>109.61999999999999</v>
      </c>
      <c r="Z29" s="473"/>
      <c r="AA29" s="474">
        <f>SUM(AB6:AB28)</f>
        <v>222.99</v>
      </c>
      <c r="AB29" s="474"/>
      <c r="AC29" s="475">
        <f>SUM(AD6:AD28)</f>
        <v>14.600000000000001</v>
      </c>
      <c r="AD29" s="473"/>
      <c r="AE29" s="474">
        <f>SUM(AF6:AF28)</f>
        <v>20.5</v>
      </c>
      <c r="AF29" s="474"/>
      <c r="AG29" s="299">
        <f>SUM(AG6:AG28)</f>
        <v>7.44</v>
      </c>
      <c r="AH29" s="476">
        <f>SUM(AI6:AI28)</f>
        <v>0</v>
      </c>
      <c r="AI29" s="477"/>
      <c r="AJ29" s="56"/>
      <c r="AK29" s="53"/>
      <c r="AL29" s="53"/>
    </row>
    <row r="30" spans="3:40" ht="17.100000000000001" thickBot="1">
      <c r="E30" s="53"/>
      <c r="F30" s="53"/>
      <c r="G30" s="462" t="s">
        <v>470</v>
      </c>
      <c r="H30" s="463"/>
      <c r="I30" s="314">
        <f>I29-J31</f>
        <v>22.6400000000001</v>
      </c>
      <c r="J30" s="464">
        <f>SUM(J29:X29)</f>
        <v>766.83999999999992</v>
      </c>
      <c r="K30" s="464"/>
      <c r="L30" s="464"/>
      <c r="M30" s="464"/>
      <c r="N30" s="464"/>
      <c r="O30" s="464"/>
      <c r="P30" s="464"/>
      <c r="Q30" s="464"/>
      <c r="R30" s="464"/>
      <c r="S30" s="464"/>
      <c r="T30" s="464"/>
      <c r="U30" s="464"/>
      <c r="V30" s="464"/>
      <c r="W30" s="464"/>
      <c r="X30" s="464"/>
      <c r="Y30" s="465">
        <f>SUM(Y29:AI29)</f>
        <v>375.15000000000003</v>
      </c>
      <c r="Z30" s="466"/>
      <c r="AA30" s="466"/>
      <c r="AB30" s="466"/>
      <c r="AC30" s="466"/>
      <c r="AD30" s="466"/>
      <c r="AE30" s="466"/>
      <c r="AF30" s="466"/>
      <c r="AG30" s="466"/>
      <c r="AH30" s="466"/>
      <c r="AI30" s="467"/>
      <c r="AJ30" s="56"/>
      <c r="AK30" s="53"/>
      <c r="AL30" s="56"/>
    </row>
    <row r="31" spans="3:40" ht="21" thickTop="1" thickBot="1">
      <c r="E31" s="53"/>
      <c r="F31" s="53"/>
      <c r="G31" s="53"/>
      <c r="H31" s="56"/>
      <c r="I31" s="62"/>
      <c r="J31" s="468">
        <f>SUM(J30:AF30)</f>
        <v>1141.99</v>
      </c>
      <c r="K31" s="469"/>
      <c r="L31" s="469"/>
      <c r="M31" s="469"/>
      <c r="N31" s="469"/>
      <c r="O31" s="469"/>
      <c r="P31" s="469"/>
      <c r="Q31" s="469"/>
      <c r="R31" s="469"/>
      <c r="S31" s="469"/>
      <c r="T31" s="469"/>
      <c r="U31" s="469"/>
      <c r="V31" s="469"/>
      <c r="W31" s="469"/>
      <c r="X31" s="469"/>
      <c r="Y31" s="469"/>
      <c r="Z31" s="469"/>
      <c r="AA31" s="469"/>
      <c r="AB31" s="469"/>
      <c r="AC31" s="469"/>
      <c r="AD31" s="469"/>
      <c r="AE31" s="469"/>
      <c r="AF31" s="469"/>
      <c r="AG31" s="469"/>
      <c r="AH31" s="469"/>
      <c r="AI31" s="470"/>
      <c r="AJ31" s="56"/>
      <c r="AK31" s="53"/>
    </row>
    <row r="32" spans="3:40">
      <c r="E32" s="53"/>
      <c r="F32" s="53"/>
      <c r="G32" s="53"/>
      <c r="H32" s="53"/>
      <c r="I32" s="74"/>
      <c r="J32" s="74"/>
      <c r="K32" s="683"/>
      <c r="L32" s="683"/>
      <c r="M32" s="451"/>
      <c r="N32" s="451"/>
      <c r="O32" s="451"/>
      <c r="P32" s="451"/>
      <c r="Q32" s="451"/>
      <c r="R32" s="451"/>
      <c r="S32" s="451"/>
      <c r="T32" s="451"/>
      <c r="U32" s="683"/>
      <c r="V32" s="683"/>
      <c r="W32" s="451"/>
      <c r="X32" s="274"/>
      <c r="Y32" s="683"/>
      <c r="Z32" s="683"/>
      <c r="AA32" s="681"/>
      <c r="AB32" s="681"/>
      <c r="AC32" s="681"/>
      <c r="AD32" s="681"/>
      <c r="AE32" s="681"/>
      <c r="AF32" s="681"/>
      <c r="AG32" s="450"/>
      <c r="AH32" s="450"/>
      <c r="AI32" s="450"/>
      <c r="AJ32" s="56"/>
      <c r="AK32" s="53"/>
    </row>
    <row r="34" spans="11:15">
      <c r="K34" s="254" t="s">
        <v>497</v>
      </c>
      <c r="L34" t="s">
        <v>498</v>
      </c>
    </row>
    <row r="35" spans="11:15">
      <c r="K35" s="254" t="s">
        <v>499</v>
      </c>
      <c r="L35" s="6">
        <v>593</v>
      </c>
      <c r="M35" s="6"/>
      <c r="N35" s="6"/>
      <c r="O35" t="s">
        <v>500</v>
      </c>
    </row>
    <row r="36" spans="11:15">
      <c r="K36" t="s">
        <v>501</v>
      </c>
      <c r="L36" s="6">
        <v>367</v>
      </c>
      <c r="M36" s="6"/>
      <c r="N36" s="6"/>
    </row>
    <row r="37" spans="11:15">
      <c r="K37" t="s">
        <v>502</v>
      </c>
      <c r="L37" s="6">
        <v>44.52</v>
      </c>
      <c r="M37" s="6"/>
      <c r="N37" s="6"/>
      <c r="O37" t="s">
        <v>503</v>
      </c>
    </row>
    <row r="38" spans="11:15">
      <c r="K38" t="s">
        <v>504</v>
      </c>
      <c r="L38" s="6">
        <v>87.68</v>
      </c>
      <c r="M38" s="6"/>
      <c r="N38" s="6"/>
      <c r="O38" t="s">
        <v>505</v>
      </c>
    </row>
    <row r="39" spans="11:15">
      <c r="K39" s="254" t="s">
        <v>506</v>
      </c>
      <c r="L39" s="6"/>
      <c r="M39" s="6"/>
      <c r="N39" s="6"/>
    </row>
    <row r="40" spans="11:15">
      <c r="K40" t="s">
        <v>507</v>
      </c>
      <c r="L40" s="6">
        <v>46.08</v>
      </c>
      <c r="M40" s="6"/>
      <c r="N40" s="6"/>
      <c r="O40" t="s">
        <v>508</v>
      </c>
    </row>
    <row r="41" spans="11:15">
      <c r="K41" t="s">
        <v>509</v>
      </c>
      <c r="L41" s="6">
        <v>39.119999999999997</v>
      </c>
      <c r="M41" s="6"/>
      <c r="N41" s="6"/>
      <c r="O41" t="s">
        <v>510</v>
      </c>
    </row>
    <row r="42" spans="11:15">
      <c r="K42" s="254" t="s">
        <v>511</v>
      </c>
      <c r="L42" s="6"/>
      <c r="M42" s="6"/>
      <c r="N42" s="6"/>
    </row>
    <row r="43" spans="11:15">
      <c r="K43" t="s">
        <v>507</v>
      </c>
      <c r="L43" s="6">
        <v>120</v>
      </c>
      <c r="M43" s="6"/>
      <c r="N43" s="6"/>
      <c r="O43" t="s">
        <v>512</v>
      </c>
    </row>
    <row r="44" spans="11:15">
      <c r="K44" t="s">
        <v>513</v>
      </c>
      <c r="L44" s="6">
        <v>120</v>
      </c>
      <c r="M44" s="6"/>
      <c r="N44" s="6"/>
      <c r="O44" t="s">
        <v>512</v>
      </c>
    </row>
    <row r="45" spans="11:15">
      <c r="K45" s="254" t="s">
        <v>227</v>
      </c>
      <c r="L45" s="6">
        <f>SUM(L36:L44)</f>
        <v>824.4</v>
      </c>
      <c r="M45" s="6"/>
      <c r="N45" s="6"/>
    </row>
    <row r="46" spans="11:15">
      <c r="K46" t="s">
        <v>514</v>
      </c>
      <c r="L46" s="6">
        <v>920.98</v>
      </c>
    </row>
    <row r="47" spans="11:15">
      <c r="L47" s="254"/>
      <c r="M47" s="6"/>
      <c r="N47" s="6"/>
      <c r="O47" s="6"/>
    </row>
    <row r="48" spans="11:15">
      <c r="M48" s="6"/>
      <c r="N48" s="6"/>
      <c r="O48" s="6"/>
    </row>
    <row r="49" spans="3:40">
      <c r="M49" s="6"/>
      <c r="N49" s="6"/>
      <c r="O49" s="6"/>
    </row>
    <row r="50" spans="3:40">
      <c r="L50" s="254"/>
      <c r="M50" s="6"/>
      <c r="N50" s="6"/>
      <c r="O50" s="6"/>
    </row>
    <row r="53" spans="3:40" ht="21">
      <c r="C53" s="691"/>
      <c r="D53" s="691"/>
    </row>
    <row r="54" spans="3:40">
      <c r="C54" s="304"/>
      <c r="D54" s="56"/>
    </row>
    <row r="55" spans="3:40">
      <c r="C55" s="304"/>
      <c r="D55" s="56"/>
    </row>
    <row r="56" spans="3:40">
      <c r="C56" s="304"/>
      <c r="D56" s="56"/>
    </row>
    <row r="57" spans="3:40" ht="21">
      <c r="C57" s="304"/>
      <c r="D57" s="56"/>
      <c r="E57" s="456"/>
      <c r="F57" s="456"/>
      <c r="G57" s="456"/>
      <c r="H57" s="694"/>
      <c r="I57" s="694"/>
      <c r="J57" s="694"/>
      <c r="K57" s="694"/>
      <c r="L57" s="694"/>
      <c r="M57" s="694"/>
      <c r="N57" s="694"/>
      <c r="O57" s="694"/>
      <c r="P57" s="694"/>
      <c r="Q57" s="694"/>
      <c r="R57" s="694"/>
      <c r="S57" s="694"/>
      <c r="T57" s="694"/>
      <c r="U57" s="694"/>
      <c r="V57" s="694"/>
      <c r="W57" s="694"/>
      <c r="X57" s="694"/>
      <c r="Y57" s="694"/>
      <c r="Z57" s="694"/>
      <c r="AA57" s="694"/>
      <c r="AB57" s="694"/>
      <c r="AC57" s="694"/>
      <c r="AD57" s="694"/>
      <c r="AE57" s="694"/>
      <c r="AF57" s="694"/>
      <c r="AG57" s="694"/>
      <c r="AH57" s="694"/>
      <c r="AI57" s="694"/>
      <c r="AJ57" s="459"/>
      <c r="AK57" s="53"/>
      <c r="AL57" s="695"/>
      <c r="AM57" s="695"/>
      <c r="AN57" s="695"/>
    </row>
    <row r="58" spans="3:40">
      <c r="C58" s="53"/>
      <c r="D58" s="77"/>
      <c r="E58" s="458"/>
      <c r="F58" s="458"/>
      <c r="G58" s="458"/>
      <c r="H58" s="692"/>
      <c r="I58" s="692"/>
      <c r="J58" s="457"/>
      <c r="K58" s="693"/>
      <c r="L58" s="693"/>
      <c r="M58" s="693"/>
      <c r="N58" s="693"/>
      <c r="O58" s="693"/>
      <c r="P58" s="693"/>
      <c r="Q58" s="693"/>
      <c r="R58" s="693"/>
      <c r="S58" s="693"/>
      <c r="T58" s="693"/>
      <c r="U58" s="693"/>
      <c r="V58" s="693"/>
      <c r="W58" s="458"/>
      <c r="X58" s="458"/>
      <c r="Y58" s="693"/>
      <c r="Z58" s="693"/>
      <c r="AA58" s="693"/>
      <c r="AB58" s="693"/>
      <c r="AC58" s="693"/>
      <c r="AD58" s="693"/>
      <c r="AE58" s="693"/>
      <c r="AF58" s="693"/>
      <c r="AG58" s="458"/>
      <c r="AH58" s="693"/>
      <c r="AI58" s="693"/>
      <c r="AJ58" s="458"/>
      <c r="AK58" s="53"/>
      <c r="AL58" s="304"/>
      <c r="AM58" s="53"/>
    </row>
    <row r="59" spans="3:40">
      <c r="C59" s="53"/>
      <c r="D59" s="56"/>
      <c r="E59" s="56"/>
      <c r="F59" s="56"/>
      <c r="G59" s="56"/>
      <c r="H59" s="457"/>
      <c r="I59" s="457"/>
      <c r="J59" s="457"/>
      <c r="K59" s="460"/>
      <c r="L59" s="460"/>
      <c r="M59" s="460"/>
      <c r="N59" s="460"/>
      <c r="O59" s="460"/>
      <c r="P59" s="460"/>
      <c r="Q59" s="460"/>
      <c r="R59" s="460"/>
      <c r="S59" s="460"/>
      <c r="T59" s="460"/>
      <c r="U59" s="460"/>
      <c r="V59" s="460"/>
      <c r="W59" s="460"/>
      <c r="X59" s="460"/>
      <c r="Y59" s="460"/>
      <c r="Z59" s="460"/>
      <c r="AA59" s="460"/>
      <c r="AB59" s="460"/>
      <c r="AC59" s="460"/>
      <c r="AD59" s="460"/>
      <c r="AE59" s="460"/>
      <c r="AF59" s="460"/>
      <c r="AG59" s="460"/>
      <c r="AH59" s="460"/>
      <c r="AI59" s="460"/>
      <c r="AJ59" s="460"/>
      <c r="AK59" s="53"/>
      <c r="AL59" s="304"/>
      <c r="AM59" s="53"/>
    </row>
    <row r="60" spans="3:40">
      <c r="C60" s="697"/>
      <c r="D60" s="697"/>
      <c r="E60" s="56"/>
      <c r="F60" s="56"/>
      <c r="G60" s="56"/>
      <c r="H60" s="56"/>
      <c r="I60" s="62"/>
      <c r="J60" s="62"/>
      <c r="K60" s="53"/>
      <c r="L60" s="56"/>
      <c r="M60" s="56"/>
      <c r="N60" s="56"/>
      <c r="O60" s="53"/>
      <c r="P60" s="56"/>
      <c r="Q60" s="53"/>
      <c r="R60" s="56"/>
      <c r="S60" s="53"/>
      <c r="T60" s="56"/>
      <c r="U60" s="56"/>
      <c r="V60" s="56"/>
      <c r="W60" s="56"/>
      <c r="X60" s="56"/>
      <c r="Y60" s="56"/>
      <c r="Z60" s="56"/>
      <c r="AA60" s="53"/>
      <c r="AB60" s="56"/>
      <c r="AC60" s="53"/>
      <c r="AD60" s="56"/>
      <c r="AE60" s="53"/>
      <c r="AF60" s="56"/>
      <c r="AG60" s="56"/>
      <c r="AH60" s="56"/>
      <c r="AI60" s="56"/>
      <c r="AJ60" s="56"/>
      <c r="AK60" s="53"/>
      <c r="AL60" s="304"/>
      <c r="AM60" s="53"/>
    </row>
    <row r="61" spans="3:40">
      <c r="C61" s="53"/>
      <c r="D61" s="56"/>
      <c r="E61" s="56"/>
      <c r="F61" s="56"/>
      <c r="G61" s="56"/>
      <c r="H61" s="56"/>
      <c r="I61" s="62"/>
      <c r="J61" s="62"/>
      <c r="K61" s="53"/>
      <c r="L61" s="56"/>
      <c r="M61" s="56"/>
      <c r="N61" s="56"/>
      <c r="O61" s="53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3"/>
      <c r="AB61" s="56"/>
      <c r="AC61" s="56"/>
      <c r="AD61" s="56"/>
      <c r="AE61" s="53"/>
      <c r="AF61" s="56"/>
      <c r="AG61" s="56"/>
      <c r="AH61" s="56"/>
      <c r="AI61" s="56"/>
      <c r="AJ61" s="56"/>
      <c r="AK61" s="53"/>
      <c r="AL61" s="304"/>
      <c r="AM61" s="53"/>
    </row>
    <row r="62" spans="3:40">
      <c r="C62" s="53"/>
      <c r="D62" s="56"/>
      <c r="E62" s="56"/>
      <c r="F62" s="56"/>
      <c r="G62" s="56"/>
      <c r="H62" s="56"/>
      <c r="I62" s="62"/>
      <c r="J62" s="62"/>
      <c r="K62" s="53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3"/>
      <c r="AB62" s="56"/>
      <c r="AC62" s="56"/>
      <c r="AD62" s="56"/>
      <c r="AE62" s="53"/>
      <c r="AF62" s="56"/>
      <c r="AG62" s="56"/>
      <c r="AH62" s="56"/>
      <c r="AI62" s="56"/>
      <c r="AJ62" s="56"/>
      <c r="AK62" s="53"/>
      <c r="AL62" s="304"/>
      <c r="AM62" s="53"/>
    </row>
    <row r="63" spans="3:40">
      <c r="E63" s="56"/>
      <c r="F63" s="56"/>
      <c r="G63" s="56"/>
      <c r="H63" s="56"/>
      <c r="I63" s="62"/>
      <c r="J63" s="62"/>
      <c r="K63" s="53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3"/>
      <c r="AB63" s="56"/>
      <c r="AC63" s="56"/>
      <c r="AD63" s="56"/>
      <c r="AE63" s="53"/>
      <c r="AF63" s="56"/>
      <c r="AG63" s="56"/>
      <c r="AH63" s="56"/>
      <c r="AI63" s="56"/>
      <c r="AJ63" s="56"/>
      <c r="AK63" s="53"/>
      <c r="AL63" s="304"/>
    </row>
    <row r="64" spans="3:40">
      <c r="C64" s="56"/>
      <c r="E64" s="56"/>
      <c r="F64" s="56"/>
      <c r="G64" s="56"/>
      <c r="H64" s="56"/>
      <c r="I64" s="62"/>
      <c r="J64" s="62"/>
      <c r="K64" s="53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3"/>
      <c r="AB64" s="56"/>
      <c r="AC64" s="56"/>
      <c r="AD64" s="56"/>
      <c r="AE64" s="53"/>
      <c r="AF64" s="56"/>
      <c r="AG64" s="56"/>
      <c r="AH64" s="56"/>
      <c r="AI64" s="56"/>
      <c r="AJ64" s="56"/>
      <c r="AK64" s="53"/>
      <c r="AL64" s="304"/>
    </row>
    <row r="65" spans="3:40">
      <c r="C65" s="53"/>
      <c r="D65" s="53"/>
      <c r="E65" s="458"/>
      <c r="F65" s="458"/>
      <c r="G65" s="458"/>
      <c r="H65" s="56"/>
      <c r="I65" s="62"/>
      <c r="J65" s="62"/>
      <c r="K65" s="53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3"/>
      <c r="AB65" s="56"/>
      <c r="AC65" s="56"/>
      <c r="AD65" s="56"/>
      <c r="AE65" s="53"/>
      <c r="AF65" s="56"/>
      <c r="AG65" s="56"/>
      <c r="AH65" s="56"/>
      <c r="AI65" s="56"/>
      <c r="AJ65" s="56"/>
      <c r="AK65" s="53"/>
      <c r="AL65" s="304"/>
    </row>
    <row r="66" spans="3:40">
      <c r="C66" s="53"/>
      <c r="D66" s="56"/>
      <c r="E66" s="77"/>
      <c r="F66" s="77"/>
      <c r="G66" s="77"/>
      <c r="H66" s="56"/>
      <c r="I66" s="76"/>
      <c r="J66" s="76"/>
      <c r="K66" s="53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3"/>
      <c r="AB66" s="56"/>
      <c r="AC66" s="56"/>
      <c r="AD66" s="56"/>
      <c r="AE66" s="53"/>
      <c r="AF66" s="56"/>
      <c r="AG66" s="56"/>
      <c r="AH66" s="56"/>
      <c r="AI66" s="56"/>
      <c r="AJ66" s="56"/>
      <c r="AK66" s="53"/>
      <c r="AL66" s="304"/>
      <c r="AM66" s="53"/>
    </row>
    <row r="67" spans="3:40">
      <c r="C67" s="53"/>
      <c r="D67" s="56"/>
      <c r="E67" s="77"/>
      <c r="F67" s="77"/>
      <c r="G67" s="77"/>
      <c r="H67" s="77"/>
      <c r="I67" s="76"/>
      <c r="J67" s="76"/>
      <c r="K67" s="53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3"/>
      <c r="AB67" s="56"/>
      <c r="AC67" s="56"/>
      <c r="AD67" s="56"/>
      <c r="AE67" s="53"/>
      <c r="AF67" s="56"/>
      <c r="AG67" s="56"/>
      <c r="AH67" s="56"/>
      <c r="AI67" s="56"/>
      <c r="AJ67" s="56"/>
      <c r="AK67" s="53"/>
      <c r="AL67" s="304"/>
    </row>
    <row r="68" spans="3:40">
      <c r="C68" s="53"/>
      <c r="D68" s="56"/>
      <c r="E68" s="77"/>
      <c r="F68" s="77"/>
      <c r="G68" s="77"/>
      <c r="H68" s="77"/>
      <c r="I68" s="76"/>
      <c r="J68" s="76"/>
      <c r="K68" s="53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3"/>
      <c r="AB68" s="56"/>
      <c r="AC68" s="56"/>
      <c r="AD68" s="56"/>
      <c r="AE68" s="53"/>
      <c r="AF68" s="56"/>
      <c r="AG68" s="56"/>
      <c r="AH68" s="56"/>
      <c r="AI68" s="56"/>
      <c r="AJ68" s="56"/>
      <c r="AK68" s="53"/>
      <c r="AL68" s="304"/>
    </row>
    <row r="69" spans="3:40">
      <c r="D69" s="6"/>
      <c r="E69" s="77"/>
      <c r="F69" s="77"/>
      <c r="G69" s="77"/>
      <c r="H69" s="56"/>
      <c r="I69" s="62"/>
      <c r="J69" s="62"/>
      <c r="K69" s="53"/>
      <c r="L69" s="56"/>
      <c r="M69" s="56"/>
      <c r="N69" s="56"/>
      <c r="O69" s="56"/>
      <c r="P69" s="56"/>
      <c r="Q69" s="56"/>
      <c r="R69" s="56"/>
      <c r="S69" s="53"/>
      <c r="T69" s="56"/>
      <c r="U69" s="56"/>
      <c r="V69" s="56"/>
      <c r="W69" s="56"/>
      <c r="X69" s="56"/>
      <c r="Y69" s="56"/>
      <c r="Z69" s="56"/>
      <c r="AA69" s="53"/>
      <c r="AB69" s="56"/>
      <c r="AC69" s="56"/>
      <c r="AD69" s="56"/>
      <c r="AE69" s="53"/>
      <c r="AF69" s="56"/>
      <c r="AG69" s="56"/>
      <c r="AH69" s="56"/>
      <c r="AI69" s="56"/>
      <c r="AJ69" s="56"/>
      <c r="AK69" s="53"/>
      <c r="AL69" s="304"/>
      <c r="AM69" s="53"/>
    </row>
    <row r="70" spans="3:40">
      <c r="C70" s="53"/>
      <c r="D70" s="53"/>
      <c r="E70" s="56"/>
      <c r="F70" s="56"/>
      <c r="G70" s="56"/>
      <c r="H70" s="458"/>
      <c r="I70" s="80"/>
      <c r="J70" s="80"/>
      <c r="K70" s="53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3"/>
      <c r="AB70" s="56"/>
      <c r="AC70" s="56"/>
      <c r="AD70" s="56"/>
      <c r="AE70" s="53"/>
      <c r="AF70" s="56"/>
      <c r="AG70" s="56"/>
      <c r="AH70" s="56"/>
      <c r="AI70" s="56"/>
      <c r="AJ70" s="56"/>
      <c r="AK70" s="53"/>
      <c r="AL70" s="304"/>
    </row>
    <row r="71" spans="3:40">
      <c r="C71" s="53"/>
      <c r="D71" s="53"/>
      <c r="E71" s="458"/>
      <c r="F71" s="458"/>
      <c r="G71" s="458"/>
      <c r="H71" s="77"/>
      <c r="I71" s="76"/>
      <c r="J71" s="76"/>
      <c r="K71" s="53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3"/>
      <c r="AB71" s="56"/>
      <c r="AC71" s="56"/>
      <c r="AD71" s="56"/>
      <c r="AE71" s="53"/>
      <c r="AF71" s="76"/>
      <c r="AG71" s="76"/>
      <c r="AH71" s="76"/>
      <c r="AI71" s="76"/>
      <c r="AJ71" s="76"/>
      <c r="AK71" s="53"/>
      <c r="AL71" s="304"/>
    </row>
    <row r="72" spans="3:40">
      <c r="C72" s="53"/>
      <c r="D72" s="53"/>
      <c r="E72" s="77"/>
      <c r="F72" s="77"/>
      <c r="G72" s="77"/>
      <c r="H72" s="77"/>
      <c r="I72" s="76"/>
      <c r="J72" s="76"/>
      <c r="K72" s="53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3"/>
      <c r="AB72" s="56"/>
      <c r="AC72" s="56"/>
      <c r="AD72" s="56"/>
      <c r="AE72" s="53"/>
      <c r="AF72" s="56"/>
      <c r="AG72" s="56"/>
      <c r="AH72" s="56"/>
      <c r="AI72" s="56"/>
      <c r="AJ72" s="56"/>
      <c r="AK72" s="53"/>
      <c r="AL72" s="53"/>
    </row>
    <row r="73" spans="3:40">
      <c r="C73" s="53"/>
      <c r="D73" s="53"/>
      <c r="E73" s="77"/>
      <c r="F73" s="77"/>
      <c r="G73" s="77"/>
      <c r="H73" s="77"/>
      <c r="I73" s="76"/>
      <c r="J73" s="76"/>
      <c r="K73" s="53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3"/>
      <c r="AB73" s="56"/>
      <c r="AC73" s="56"/>
      <c r="AD73" s="56"/>
      <c r="AE73" s="53"/>
      <c r="AF73" s="56"/>
      <c r="AG73" s="56"/>
      <c r="AH73" s="56"/>
      <c r="AI73" s="56"/>
      <c r="AJ73" s="56"/>
      <c r="AK73" s="53"/>
      <c r="AL73" s="53"/>
    </row>
    <row r="74" spans="3:40">
      <c r="C74" s="53"/>
      <c r="D74" s="53"/>
      <c r="E74" s="77"/>
      <c r="F74" s="77"/>
      <c r="G74" s="77"/>
      <c r="H74" s="77"/>
      <c r="I74" s="76"/>
      <c r="J74" s="76"/>
      <c r="K74" s="53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3"/>
      <c r="AB74" s="56"/>
      <c r="AC74" s="56"/>
      <c r="AD74" s="56"/>
      <c r="AE74" s="53"/>
      <c r="AF74" s="56"/>
      <c r="AG74" s="56"/>
      <c r="AH74" s="56"/>
      <c r="AI74" s="56"/>
      <c r="AJ74" s="56"/>
      <c r="AK74" s="53"/>
      <c r="AL74" s="53"/>
    </row>
    <row r="75" spans="3:40">
      <c r="C75" s="53"/>
      <c r="D75" s="53"/>
      <c r="E75" s="77"/>
      <c r="F75" s="77"/>
      <c r="G75" s="77"/>
      <c r="H75" s="53"/>
      <c r="I75" s="74"/>
      <c r="J75" s="74"/>
      <c r="K75" s="53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3"/>
      <c r="AB75" s="56"/>
      <c r="AC75" s="56"/>
      <c r="AD75" s="56"/>
      <c r="AE75" s="53"/>
      <c r="AF75" s="56"/>
      <c r="AG75" s="56"/>
      <c r="AH75" s="56"/>
      <c r="AI75" s="56"/>
      <c r="AJ75" s="56"/>
      <c r="AK75" s="53"/>
      <c r="AL75" s="53"/>
      <c r="AN75" s="112"/>
    </row>
    <row r="76" spans="3:40">
      <c r="C76" s="53"/>
      <c r="D76" s="53"/>
      <c r="E76" s="77"/>
      <c r="F76" s="77"/>
      <c r="G76" s="77"/>
      <c r="H76" s="53"/>
      <c r="I76" s="74"/>
      <c r="J76" s="74"/>
      <c r="K76" s="53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3"/>
      <c r="AB76" s="56"/>
      <c r="AC76" s="56"/>
      <c r="AD76" s="56"/>
      <c r="AE76" s="53"/>
      <c r="AF76" s="56"/>
      <c r="AG76" s="56"/>
      <c r="AH76" s="56"/>
      <c r="AI76" s="56"/>
      <c r="AJ76" s="56"/>
      <c r="AK76" s="53"/>
      <c r="AL76" s="53"/>
      <c r="AN76" s="112"/>
    </row>
    <row r="77" spans="3:40">
      <c r="C77" s="53"/>
      <c r="D77" s="53"/>
      <c r="E77" s="77"/>
      <c r="F77" s="77"/>
      <c r="G77" s="77"/>
      <c r="H77" s="53"/>
      <c r="I77" s="74"/>
      <c r="J77" s="74"/>
      <c r="K77" s="53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3"/>
      <c r="AB77" s="56"/>
      <c r="AC77" s="56"/>
      <c r="AD77" s="56"/>
      <c r="AE77" s="53"/>
      <c r="AF77" s="56"/>
      <c r="AG77" s="56"/>
      <c r="AH77" s="56"/>
      <c r="AI77" s="56"/>
      <c r="AJ77" s="56"/>
      <c r="AK77" s="53"/>
      <c r="AL77" s="53"/>
      <c r="AN77" s="112"/>
    </row>
    <row r="78" spans="3:40">
      <c r="C78" s="53"/>
      <c r="D78" s="53"/>
      <c r="E78" s="53"/>
      <c r="F78" s="53"/>
      <c r="G78" s="53"/>
      <c r="H78" s="53"/>
      <c r="I78" s="74"/>
      <c r="J78" s="74"/>
      <c r="K78" s="53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3"/>
      <c r="AB78" s="56"/>
      <c r="AC78" s="56"/>
      <c r="AD78" s="56"/>
      <c r="AE78" s="53"/>
      <c r="AF78" s="56"/>
      <c r="AG78" s="56"/>
      <c r="AH78" s="56"/>
      <c r="AI78" s="56"/>
      <c r="AJ78" s="56"/>
      <c r="AK78" s="53"/>
      <c r="AL78" s="53"/>
      <c r="AN78" s="112"/>
    </row>
    <row r="79" spans="3:40">
      <c r="C79" s="53"/>
      <c r="D79" s="53"/>
      <c r="E79" s="53"/>
      <c r="F79" s="53"/>
      <c r="G79" s="53"/>
      <c r="H79" s="53"/>
      <c r="I79" s="62"/>
      <c r="J79" s="62"/>
      <c r="K79" s="53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3"/>
      <c r="AB79" s="56"/>
      <c r="AC79" s="56"/>
      <c r="AD79" s="56"/>
      <c r="AE79" s="53"/>
      <c r="AF79" s="56"/>
      <c r="AG79" s="56"/>
      <c r="AH79" s="56"/>
      <c r="AI79" s="56"/>
      <c r="AJ79" s="56"/>
      <c r="AK79" s="53"/>
      <c r="AL79" s="53"/>
      <c r="AN79" s="112"/>
    </row>
    <row r="80" spans="3:40">
      <c r="C80" s="53"/>
      <c r="D80" s="53"/>
      <c r="E80" s="53"/>
      <c r="F80" s="53"/>
      <c r="G80" s="53"/>
      <c r="H80" s="53"/>
      <c r="I80" s="62"/>
      <c r="J80" s="62"/>
      <c r="K80" s="53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3"/>
      <c r="AB80" s="56"/>
      <c r="AC80" s="56"/>
      <c r="AD80" s="56"/>
      <c r="AE80" s="53"/>
      <c r="AF80" s="56"/>
      <c r="AG80" s="56"/>
      <c r="AH80" s="56"/>
      <c r="AI80" s="56"/>
      <c r="AJ80" s="56"/>
      <c r="AK80" s="53"/>
      <c r="AL80" s="53"/>
      <c r="AN80" s="112"/>
    </row>
    <row r="81" spans="3:38">
      <c r="C81" s="53"/>
      <c r="D81" s="53"/>
      <c r="E81" s="53"/>
      <c r="F81" s="53"/>
      <c r="G81" s="53"/>
      <c r="H81" s="53"/>
      <c r="I81" s="62"/>
      <c r="J81" s="62"/>
      <c r="K81" s="53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3"/>
      <c r="AB81" s="56"/>
      <c r="AC81" s="56"/>
      <c r="AD81" s="56"/>
      <c r="AE81" s="53"/>
      <c r="AF81" s="56"/>
      <c r="AG81" s="56"/>
      <c r="AH81" s="56"/>
      <c r="AI81" s="56"/>
      <c r="AJ81" s="56"/>
      <c r="AK81" s="53"/>
      <c r="AL81" s="53"/>
    </row>
    <row r="82" spans="3:38">
      <c r="C82" s="53"/>
      <c r="D82" s="53"/>
      <c r="E82" s="53"/>
      <c r="F82" s="53"/>
      <c r="G82" s="53"/>
      <c r="H82" s="53"/>
      <c r="I82" s="62"/>
      <c r="J82" s="62"/>
      <c r="K82" s="53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3"/>
      <c r="AB82" s="56"/>
      <c r="AC82" s="56"/>
      <c r="AD82" s="56"/>
      <c r="AE82" s="53"/>
      <c r="AF82" s="56"/>
      <c r="AG82" s="56"/>
      <c r="AH82" s="56"/>
      <c r="AI82" s="56"/>
      <c r="AJ82" s="56"/>
      <c r="AK82" s="53"/>
      <c r="AL82" s="53"/>
    </row>
    <row r="83" spans="3:38">
      <c r="E83" s="53"/>
      <c r="F83" s="53"/>
      <c r="G83" s="53"/>
      <c r="H83" s="53"/>
      <c r="I83" s="62"/>
      <c r="J83" s="62"/>
      <c r="K83" s="688"/>
      <c r="L83" s="688"/>
      <c r="M83" s="688"/>
      <c r="N83" s="688"/>
      <c r="O83" s="688"/>
      <c r="P83" s="688"/>
      <c r="Q83" s="688"/>
      <c r="R83" s="688"/>
      <c r="S83" s="688"/>
      <c r="T83" s="688"/>
      <c r="U83" s="688"/>
      <c r="V83" s="688"/>
      <c r="W83" s="453"/>
      <c r="X83" s="451"/>
      <c r="Y83" s="688"/>
      <c r="Z83" s="688"/>
      <c r="AA83" s="688"/>
      <c r="AB83" s="688"/>
      <c r="AC83" s="688"/>
      <c r="AD83" s="688"/>
      <c r="AE83" s="688"/>
      <c r="AF83" s="688"/>
      <c r="AG83" s="453"/>
      <c r="AH83" s="688"/>
      <c r="AI83" s="688"/>
      <c r="AJ83" s="56"/>
      <c r="AK83" s="53"/>
      <c r="AL83" s="53"/>
    </row>
    <row r="84" spans="3:38">
      <c r="E84" s="53"/>
      <c r="F84" s="53"/>
      <c r="G84" s="53"/>
      <c r="H84" s="53"/>
      <c r="I84" s="62"/>
      <c r="J84" s="62"/>
      <c r="K84" s="689"/>
      <c r="L84" s="689"/>
      <c r="M84" s="689"/>
      <c r="N84" s="689"/>
      <c r="O84" s="689"/>
      <c r="P84" s="689"/>
      <c r="Q84" s="689"/>
      <c r="R84" s="689"/>
      <c r="S84" s="689"/>
      <c r="T84" s="689"/>
      <c r="U84" s="689"/>
      <c r="V84" s="689"/>
      <c r="W84" s="689"/>
      <c r="X84" s="689"/>
      <c r="Y84" s="689"/>
      <c r="Z84" s="689"/>
      <c r="AA84" s="689"/>
      <c r="AB84" s="689"/>
      <c r="AC84" s="689"/>
      <c r="AD84" s="689"/>
      <c r="AE84" s="689"/>
      <c r="AF84" s="689"/>
      <c r="AG84" s="689"/>
      <c r="AH84" s="689"/>
      <c r="AI84" s="689"/>
      <c r="AJ84" s="56"/>
      <c r="AK84" s="53"/>
      <c r="AL84" s="56"/>
    </row>
    <row r="85" spans="3:38" ht="18.95">
      <c r="E85" s="53"/>
      <c r="F85" s="53"/>
      <c r="G85" s="53"/>
      <c r="H85" s="56"/>
      <c r="I85" s="62"/>
      <c r="J85" s="62"/>
      <c r="K85" s="690"/>
      <c r="L85" s="690"/>
      <c r="M85" s="690"/>
      <c r="N85" s="690"/>
      <c r="O85" s="690"/>
      <c r="P85" s="690"/>
      <c r="Q85" s="690"/>
      <c r="R85" s="690"/>
      <c r="S85" s="690"/>
      <c r="T85" s="690"/>
      <c r="U85" s="690"/>
      <c r="V85" s="690"/>
      <c r="W85" s="690"/>
      <c r="X85" s="690"/>
      <c r="Y85" s="690"/>
      <c r="Z85" s="690"/>
      <c r="AA85" s="690"/>
      <c r="AB85" s="690"/>
      <c r="AC85" s="690"/>
      <c r="AD85" s="690"/>
      <c r="AE85" s="690"/>
      <c r="AF85" s="690"/>
      <c r="AG85" s="690"/>
      <c r="AH85" s="690"/>
      <c r="AI85" s="690"/>
      <c r="AJ85" s="56"/>
      <c r="AK85" s="53"/>
    </row>
    <row r="86" spans="3:38">
      <c r="E86" s="53"/>
      <c r="F86" s="53"/>
      <c r="G86" s="53"/>
      <c r="H86" s="53"/>
      <c r="I86" s="74"/>
      <c r="J86" s="74"/>
      <c r="K86" s="683"/>
      <c r="L86" s="683"/>
      <c r="M86" s="451"/>
      <c r="N86" s="451"/>
      <c r="O86" s="451"/>
      <c r="P86" s="451"/>
      <c r="Q86" s="451"/>
      <c r="R86" s="451"/>
      <c r="S86" s="451"/>
      <c r="T86" s="451"/>
      <c r="U86" s="683"/>
      <c r="V86" s="683"/>
      <c r="W86" s="451"/>
      <c r="X86" s="274"/>
      <c r="Y86" s="683"/>
      <c r="Z86" s="683"/>
      <c r="AA86" s="681"/>
      <c r="AB86" s="681"/>
      <c r="AC86" s="681"/>
      <c r="AD86" s="681"/>
      <c r="AE86" s="681"/>
      <c r="AF86" s="681"/>
      <c r="AG86" s="450"/>
      <c r="AH86" s="450"/>
      <c r="AI86" s="450"/>
      <c r="AJ86" s="56"/>
      <c r="AK86" s="53"/>
    </row>
    <row r="88" spans="3:38">
      <c r="K88" s="254"/>
    </row>
    <row r="89" spans="3:38">
      <c r="K89" s="254"/>
      <c r="L89" s="6"/>
      <c r="M89" s="6"/>
      <c r="N89" s="6"/>
    </row>
    <row r="90" spans="3:38">
      <c r="L90" s="6"/>
      <c r="M90" s="6"/>
      <c r="N90" s="6"/>
    </row>
    <row r="91" spans="3:38">
      <c r="L91" s="6"/>
      <c r="M91" s="6"/>
      <c r="N91" s="6"/>
    </row>
    <row r="92" spans="3:38">
      <c r="L92" s="6"/>
      <c r="M92" s="6"/>
      <c r="N92" s="6"/>
    </row>
    <row r="93" spans="3:38">
      <c r="K93" s="254"/>
      <c r="L93" s="6"/>
      <c r="M93" s="6"/>
      <c r="N93" s="6"/>
    </row>
    <row r="94" spans="3:38">
      <c r="L94" s="6"/>
      <c r="M94" s="6"/>
      <c r="N94" s="6"/>
    </row>
    <row r="95" spans="3:38">
      <c r="L95" s="6"/>
      <c r="M95" s="6"/>
      <c r="N95" s="6"/>
    </row>
    <row r="96" spans="3:38">
      <c r="K96" s="254"/>
      <c r="L96" s="6"/>
      <c r="M96" s="6"/>
      <c r="N96" s="6"/>
    </row>
    <row r="97" spans="11:14">
      <c r="L97" s="6"/>
      <c r="M97" s="6"/>
      <c r="N97" s="6"/>
    </row>
    <row r="98" spans="11:14">
      <c r="L98" s="6"/>
      <c r="M98" s="6"/>
      <c r="N98" s="6"/>
    </row>
    <row r="99" spans="11:14">
      <c r="K99" s="254"/>
      <c r="L99" s="6"/>
      <c r="M99" s="6"/>
      <c r="N99" s="6"/>
    </row>
  </sheetData>
  <mergeCells count="74">
    <mergeCell ref="C10:D10"/>
    <mergeCell ref="M29:N29"/>
    <mergeCell ref="O29:P29"/>
    <mergeCell ref="Q29:R29"/>
    <mergeCell ref="S29:T29"/>
    <mergeCell ref="G29:H29"/>
    <mergeCell ref="C53:D53"/>
    <mergeCell ref="H57:AI57"/>
    <mergeCell ref="AL57:AN57"/>
    <mergeCell ref="H58:I58"/>
    <mergeCell ref="K58:L58"/>
    <mergeCell ref="M58:N58"/>
    <mergeCell ref="O58:P58"/>
    <mergeCell ref="Q58:R58"/>
    <mergeCell ref="S58:T58"/>
    <mergeCell ref="U58:V58"/>
    <mergeCell ref="Y58:Z58"/>
    <mergeCell ref="AA58:AB58"/>
    <mergeCell ref="AC58:AD58"/>
    <mergeCell ref="AE58:AF58"/>
    <mergeCell ref="AH58:AI58"/>
    <mergeCell ref="C60:D60"/>
    <mergeCell ref="K83:L83"/>
    <mergeCell ref="M83:N83"/>
    <mergeCell ref="O83:P83"/>
    <mergeCell ref="Q83:R83"/>
    <mergeCell ref="AA86:AB86"/>
    <mergeCell ref="AC86:AD86"/>
    <mergeCell ref="AE83:AF83"/>
    <mergeCell ref="AH83:AI83"/>
    <mergeCell ref="K84:X84"/>
    <mergeCell ref="Y84:AI84"/>
    <mergeCell ref="K85:AI85"/>
    <mergeCell ref="S83:T83"/>
    <mergeCell ref="U83:V83"/>
    <mergeCell ref="Y83:Z83"/>
    <mergeCell ref="AA83:AB83"/>
    <mergeCell ref="AC83:AD83"/>
    <mergeCell ref="AE86:AF86"/>
    <mergeCell ref="K86:L86"/>
    <mergeCell ref="U86:V86"/>
    <mergeCell ref="Y86:Z86"/>
    <mergeCell ref="J30:X30"/>
    <mergeCell ref="C3:D3"/>
    <mergeCell ref="AL3:AN3"/>
    <mergeCell ref="M4:N4"/>
    <mergeCell ref="O4:P4"/>
    <mergeCell ref="Q4:R4"/>
    <mergeCell ref="S4:T4"/>
    <mergeCell ref="U4:V4"/>
    <mergeCell ref="Y4:Z4"/>
    <mergeCell ref="AA4:AB4"/>
    <mergeCell ref="AC4:AD4"/>
    <mergeCell ref="AE4:AF4"/>
    <mergeCell ref="AH4:AI4"/>
    <mergeCell ref="J4:L4"/>
    <mergeCell ref="G4:I4"/>
    <mergeCell ref="G3:AI3"/>
    <mergeCell ref="G30:H30"/>
    <mergeCell ref="AH29:AI29"/>
    <mergeCell ref="Y30:AI30"/>
    <mergeCell ref="AE32:AF32"/>
    <mergeCell ref="J31:AI31"/>
    <mergeCell ref="U29:V29"/>
    <mergeCell ref="Y29:Z29"/>
    <mergeCell ref="AA29:AB29"/>
    <mergeCell ref="AC29:AD29"/>
    <mergeCell ref="AE29:AF29"/>
    <mergeCell ref="K32:L32"/>
    <mergeCell ref="U32:V32"/>
    <mergeCell ref="Y32:Z32"/>
    <mergeCell ref="AA32:AB32"/>
    <mergeCell ref="AC32:AD32"/>
    <mergeCell ref="J29:L2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DDD3-97F8-AD4D-B22B-8BD2987990A5}">
  <sheetPr>
    <tabColor theme="9" tint="0.59999389629810485"/>
  </sheetPr>
  <dimension ref="D3:AO33"/>
  <sheetViews>
    <sheetView topLeftCell="X5" zoomScale="70" workbookViewId="0">
      <selection activeCell="AF9" sqref="AF9"/>
    </sheetView>
  </sheetViews>
  <sheetFormatPr defaultColWidth="11" defaultRowHeight="15.95"/>
  <cols>
    <col min="4" max="4" width="20.875" customWidth="1"/>
    <col min="5" max="5" width="18.375" customWidth="1"/>
    <col min="6" max="6" width="14.125" customWidth="1"/>
    <col min="8" max="8" width="7.5" customWidth="1"/>
    <col min="9" max="9" width="29.875" customWidth="1"/>
    <col min="12" max="12" width="15.5" customWidth="1"/>
    <col min="16" max="16" width="13.125" customWidth="1"/>
    <col min="20" max="20" width="19.375" customWidth="1"/>
    <col min="22" max="22" width="19.375" customWidth="1"/>
    <col min="26" max="26" width="18.625" customWidth="1"/>
    <col min="28" max="28" width="15.875" customWidth="1"/>
    <col min="32" max="32" width="26.875" customWidth="1"/>
    <col min="35" max="35" width="14.125" customWidth="1"/>
    <col min="39" max="39" width="21.875" customWidth="1"/>
    <col min="41" max="41" width="55.5" customWidth="1"/>
  </cols>
  <sheetData>
    <row r="3" spans="4:41" ht="17.100000000000001" thickBot="1"/>
    <row r="4" spans="4:41" ht="21.95" thickBot="1">
      <c r="D4" s="484" t="s">
        <v>0</v>
      </c>
      <c r="E4" s="485"/>
      <c r="F4" s="456"/>
      <c r="G4" s="456"/>
      <c r="H4" s="486" t="s">
        <v>515</v>
      </c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7"/>
      <c r="U4" s="487"/>
      <c r="V4" s="487"/>
      <c r="W4" s="487"/>
      <c r="X4" s="487"/>
      <c r="Y4" s="487"/>
      <c r="Z4" s="487"/>
      <c r="AA4" s="487"/>
      <c r="AB4" s="487"/>
      <c r="AC4" s="487"/>
      <c r="AD4" s="487"/>
      <c r="AE4" s="487"/>
      <c r="AF4" s="487"/>
      <c r="AG4" s="487"/>
      <c r="AH4" s="487"/>
      <c r="AI4" s="487"/>
      <c r="AJ4" s="488"/>
      <c r="AK4" s="459"/>
      <c r="AL4" s="53"/>
      <c r="AM4" s="489" t="s">
        <v>333</v>
      </c>
      <c r="AN4" s="490"/>
      <c r="AO4" s="491"/>
    </row>
    <row r="5" spans="4:41">
      <c r="D5" s="291" t="s">
        <v>1</v>
      </c>
      <c r="E5" s="288">
        <f>K31</f>
        <v>812.83</v>
      </c>
      <c r="F5" s="458"/>
      <c r="G5" s="458"/>
      <c r="H5" s="492" t="s">
        <v>460</v>
      </c>
      <c r="I5" s="493"/>
      <c r="J5" s="494"/>
      <c r="K5" s="495" t="s">
        <v>334</v>
      </c>
      <c r="L5" s="496"/>
      <c r="M5" s="497"/>
      <c r="N5" s="498" t="s">
        <v>335</v>
      </c>
      <c r="O5" s="497"/>
      <c r="P5" s="496" t="s">
        <v>336</v>
      </c>
      <c r="Q5" s="496"/>
      <c r="R5" s="498" t="s">
        <v>337</v>
      </c>
      <c r="S5" s="497"/>
      <c r="T5" s="498" t="s">
        <v>461</v>
      </c>
      <c r="U5" s="497"/>
      <c r="V5" s="498" t="s">
        <v>339</v>
      </c>
      <c r="W5" s="496"/>
      <c r="X5" s="310" t="s">
        <v>340</v>
      </c>
      <c r="Y5" s="452" t="s">
        <v>9</v>
      </c>
      <c r="Z5" s="499" t="s">
        <v>159</v>
      </c>
      <c r="AA5" s="500"/>
      <c r="AB5" s="501" t="s">
        <v>11</v>
      </c>
      <c r="AC5" s="500"/>
      <c r="AD5" s="501" t="s">
        <v>162</v>
      </c>
      <c r="AE5" s="500"/>
      <c r="AF5" s="501" t="s">
        <v>163</v>
      </c>
      <c r="AG5" s="502"/>
      <c r="AH5" s="295" t="s">
        <v>224</v>
      </c>
      <c r="AI5" s="503" t="s">
        <v>341</v>
      </c>
      <c r="AJ5" s="504"/>
      <c r="AK5" s="458"/>
      <c r="AL5" s="53"/>
      <c r="AM5" s="281" t="s">
        <v>334</v>
      </c>
      <c r="AN5" s="284" t="s">
        <v>342</v>
      </c>
      <c r="AO5" s="279"/>
    </row>
    <row r="6" spans="4:41">
      <c r="D6" s="292" t="s">
        <v>154</v>
      </c>
      <c r="E6" s="289">
        <f>Z31</f>
        <v>316.96000000000004</v>
      </c>
      <c r="F6" s="56"/>
      <c r="G6" s="56"/>
      <c r="H6" s="171" t="s">
        <v>462</v>
      </c>
      <c r="I6" s="457" t="s">
        <v>6</v>
      </c>
      <c r="J6" s="58" t="s">
        <v>7</v>
      </c>
      <c r="K6" s="316" t="s">
        <v>462</v>
      </c>
      <c r="L6" s="64" t="s">
        <v>166</v>
      </c>
      <c r="M6" s="67" t="s">
        <v>7</v>
      </c>
      <c r="N6" s="87" t="s">
        <v>166</v>
      </c>
      <c r="O6" s="67" t="s">
        <v>7</v>
      </c>
      <c r="P6" s="64" t="s">
        <v>166</v>
      </c>
      <c r="Q6" s="64" t="s">
        <v>7</v>
      </c>
      <c r="R6" s="87" t="s">
        <v>166</v>
      </c>
      <c r="S6" s="64" t="s">
        <v>7</v>
      </c>
      <c r="T6" s="87" t="s">
        <v>166</v>
      </c>
      <c r="U6" s="64" t="s">
        <v>7</v>
      </c>
      <c r="V6" s="87" t="s">
        <v>166</v>
      </c>
      <c r="W6" s="64" t="s">
        <v>7</v>
      </c>
      <c r="X6" s="301" t="s">
        <v>7</v>
      </c>
      <c r="Y6" s="169" t="s">
        <v>7</v>
      </c>
      <c r="Z6" s="446" t="s">
        <v>166</v>
      </c>
      <c r="AA6" s="67" t="s">
        <v>7</v>
      </c>
      <c r="AB6" s="64" t="s">
        <v>166</v>
      </c>
      <c r="AC6" s="64" t="s">
        <v>7</v>
      </c>
      <c r="AD6" s="87" t="s">
        <v>166</v>
      </c>
      <c r="AE6" s="67" t="s">
        <v>7</v>
      </c>
      <c r="AF6" s="64" t="s">
        <v>166</v>
      </c>
      <c r="AG6" s="64" t="s">
        <v>7</v>
      </c>
      <c r="AH6" s="296" t="s">
        <v>7</v>
      </c>
      <c r="AI6" s="448" t="s">
        <v>166</v>
      </c>
      <c r="AJ6" s="447" t="s">
        <v>7</v>
      </c>
      <c r="AK6" s="460"/>
      <c r="AL6" s="53"/>
      <c r="AM6" s="281" t="s">
        <v>335</v>
      </c>
      <c r="AN6" s="284" t="s">
        <v>343</v>
      </c>
      <c r="AO6" s="279"/>
    </row>
    <row r="7" spans="4:41">
      <c r="D7" s="293" t="s">
        <v>227</v>
      </c>
      <c r="E7" s="290">
        <f>E5+E6</f>
        <v>1129.79</v>
      </c>
      <c r="F7" s="56"/>
      <c r="G7" s="56"/>
      <c r="H7" s="171"/>
      <c r="I7" s="56" t="s">
        <v>175</v>
      </c>
      <c r="J7" s="62">
        <v>22.64</v>
      </c>
      <c r="K7" s="317" t="s">
        <v>516</v>
      </c>
      <c r="L7" s="53" t="s">
        <v>464</v>
      </c>
      <c r="M7" s="71">
        <v>350</v>
      </c>
      <c r="N7" s="75"/>
      <c r="O7" s="71"/>
      <c r="P7" s="53"/>
      <c r="Q7" s="71">
        <v>9.5</v>
      </c>
      <c r="R7" s="53" t="s">
        <v>183</v>
      </c>
      <c r="S7" s="71">
        <v>34</v>
      </c>
      <c r="T7" s="69" t="s">
        <v>517</v>
      </c>
      <c r="U7" s="71">
        <v>5</v>
      </c>
      <c r="V7" s="56" t="s">
        <v>518</v>
      </c>
      <c r="W7" s="56">
        <v>5.99</v>
      </c>
      <c r="X7" s="259"/>
      <c r="Y7" s="75">
        <v>2.75</v>
      </c>
      <c r="Z7" s="171" t="s">
        <v>519</v>
      </c>
      <c r="AA7" s="71">
        <v>6</v>
      </c>
      <c r="AB7" s="69" t="s">
        <v>520</v>
      </c>
      <c r="AC7" s="71">
        <v>18.45</v>
      </c>
      <c r="AD7" s="53" t="s">
        <v>521</v>
      </c>
      <c r="AE7" s="71">
        <v>11</v>
      </c>
      <c r="AF7" s="53" t="s">
        <v>522</v>
      </c>
      <c r="AG7" s="70">
        <v>25</v>
      </c>
      <c r="AH7" s="56">
        <v>14.13</v>
      </c>
      <c r="AI7" s="61" t="s">
        <v>523</v>
      </c>
      <c r="AJ7" s="70">
        <v>16.86</v>
      </c>
      <c r="AK7" s="56"/>
      <c r="AL7" s="53"/>
      <c r="AM7" s="281" t="s">
        <v>350</v>
      </c>
      <c r="AN7" s="284" t="s">
        <v>351</v>
      </c>
      <c r="AO7" s="279"/>
    </row>
    <row r="8" spans="4:41">
      <c r="D8" s="294" t="s">
        <v>470</v>
      </c>
      <c r="E8" s="60">
        <f>J31</f>
        <v>48.130000000000109</v>
      </c>
      <c r="F8" s="56"/>
      <c r="G8" s="56"/>
      <c r="H8" s="171"/>
      <c r="I8" s="56" t="s">
        <v>524</v>
      </c>
      <c r="J8" s="62">
        <v>955.28</v>
      </c>
      <c r="K8" s="317"/>
      <c r="L8" s="53" t="s">
        <v>472</v>
      </c>
      <c r="M8" s="71">
        <v>75</v>
      </c>
      <c r="N8" s="75"/>
      <c r="O8" s="71"/>
      <c r="P8" s="53"/>
      <c r="Q8" s="56">
        <v>9.75</v>
      </c>
      <c r="R8" s="75"/>
      <c r="S8" s="56"/>
      <c r="T8" s="75"/>
      <c r="U8" s="71"/>
      <c r="V8" s="56"/>
      <c r="W8" s="56">
        <v>1.65</v>
      </c>
      <c r="X8" s="259"/>
      <c r="Y8" s="75">
        <v>13.86</v>
      </c>
      <c r="Z8" s="171" t="s">
        <v>525</v>
      </c>
      <c r="AA8" s="71">
        <v>5.3</v>
      </c>
      <c r="AB8" s="23" t="s">
        <v>526</v>
      </c>
      <c r="AC8" s="71">
        <v>122.42</v>
      </c>
      <c r="AD8" s="75"/>
      <c r="AE8" s="71"/>
      <c r="AF8" s="53"/>
      <c r="AG8" s="56"/>
      <c r="AH8" s="297"/>
      <c r="AI8" s="61"/>
      <c r="AJ8" s="70"/>
      <c r="AK8" s="56"/>
      <c r="AL8" s="53"/>
      <c r="AM8" s="281" t="s">
        <v>357</v>
      </c>
      <c r="AN8" s="284" t="s">
        <v>358</v>
      </c>
      <c r="AO8" s="279"/>
    </row>
    <row r="9" spans="4:41">
      <c r="D9" s="72"/>
      <c r="E9" s="126"/>
      <c r="F9" s="56"/>
      <c r="G9" s="56"/>
      <c r="H9" s="171"/>
      <c r="I9" s="56" t="s">
        <v>527</v>
      </c>
      <c r="J9" s="62">
        <v>200</v>
      </c>
      <c r="K9" s="317"/>
      <c r="L9" s="53" t="s">
        <v>528</v>
      </c>
      <c r="M9" s="71">
        <v>8</v>
      </c>
      <c r="N9" s="75"/>
      <c r="O9" s="71"/>
      <c r="P9" s="56"/>
      <c r="Q9" s="56">
        <v>17.45</v>
      </c>
      <c r="R9" s="75"/>
      <c r="S9" s="56"/>
      <c r="T9" s="75"/>
      <c r="U9" s="71"/>
      <c r="V9" s="56"/>
      <c r="W9" s="56">
        <v>1.65</v>
      </c>
      <c r="X9" s="259"/>
      <c r="Y9" s="75">
        <v>2.59</v>
      </c>
      <c r="Z9" s="171" t="s">
        <v>529</v>
      </c>
      <c r="AA9" s="71">
        <v>16.600000000000001</v>
      </c>
      <c r="AB9" s="53"/>
      <c r="AC9" s="56"/>
      <c r="AD9" s="75"/>
      <c r="AE9" s="71"/>
      <c r="AF9" s="53" t="s">
        <v>530</v>
      </c>
      <c r="AG9" s="56">
        <v>50</v>
      </c>
      <c r="AH9" s="297"/>
      <c r="AI9" s="61"/>
      <c r="AJ9" s="70"/>
      <c r="AK9" s="56"/>
      <c r="AL9" s="53"/>
      <c r="AM9" s="281" t="s">
        <v>363</v>
      </c>
      <c r="AN9" s="284" t="s">
        <v>364</v>
      </c>
      <c r="AO9" s="279"/>
    </row>
    <row r="10" spans="4:41">
      <c r="D10" s="53"/>
      <c r="E10" s="56"/>
      <c r="F10" s="56"/>
      <c r="G10" s="56"/>
      <c r="H10" s="373"/>
      <c r="I10" s="56"/>
      <c r="J10" s="62"/>
      <c r="K10" s="317"/>
      <c r="L10" s="53" t="s">
        <v>528</v>
      </c>
      <c r="M10" s="71">
        <v>4</v>
      </c>
      <c r="N10" s="75"/>
      <c r="O10" s="71"/>
      <c r="P10" s="56" t="s">
        <v>531</v>
      </c>
      <c r="Q10" s="56">
        <v>10</v>
      </c>
      <c r="R10" s="75"/>
      <c r="S10" s="56"/>
      <c r="T10" s="75"/>
      <c r="U10" s="71"/>
      <c r="V10" s="56"/>
      <c r="W10" s="56"/>
      <c r="X10" s="259"/>
      <c r="Y10" s="273">
        <v>15.03</v>
      </c>
      <c r="Z10" s="56" t="s">
        <v>308</v>
      </c>
      <c r="AA10" s="71">
        <v>3.2</v>
      </c>
      <c r="AB10" s="53" t="s">
        <v>532</v>
      </c>
      <c r="AC10" s="56">
        <v>4</v>
      </c>
      <c r="AD10" s="75"/>
      <c r="AE10" s="71"/>
      <c r="AF10" s="53" t="s">
        <v>533</v>
      </c>
      <c r="AG10" s="56">
        <v>1.5</v>
      </c>
      <c r="AH10" s="297"/>
      <c r="AI10" s="61"/>
      <c r="AJ10" s="70"/>
      <c r="AK10" s="56"/>
      <c r="AL10" s="53"/>
      <c r="AM10" s="281" t="s">
        <v>201</v>
      </c>
      <c r="AN10" s="285" t="s">
        <v>202</v>
      </c>
      <c r="AO10" s="279"/>
    </row>
    <row r="11" spans="4:41">
      <c r="D11" s="483" t="s">
        <v>392</v>
      </c>
      <c r="E11" s="483"/>
      <c r="F11" s="56"/>
      <c r="G11" s="56"/>
      <c r="H11" s="171"/>
      <c r="I11" s="56"/>
      <c r="J11" s="62"/>
      <c r="K11" s="317"/>
      <c r="L11" s="53"/>
      <c r="M11" s="71"/>
      <c r="N11" s="75"/>
      <c r="O11" s="71"/>
      <c r="P11" s="56"/>
      <c r="Q11" s="56"/>
      <c r="R11" s="75"/>
      <c r="S11" s="56"/>
      <c r="T11" s="75"/>
      <c r="U11" s="71"/>
      <c r="V11" s="56"/>
      <c r="W11" s="56"/>
      <c r="X11" s="259"/>
      <c r="Y11" s="273">
        <v>8.3699999999999992</v>
      </c>
      <c r="Z11" s="56"/>
      <c r="AA11" s="71"/>
      <c r="AB11" s="53" t="s">
        <v>534</v>
      </c>
      <c r="AC11" s="56">
        <v>4.5</v>
      </c>
      <c r="AD11" s="75"/>
      <c r="AE11" s="71"/>
      <c r="AF11" s="53"/>
      <c r="AG11" s="56"/>
      <c r="AH11" s="297"/>
      <c r="AI11" s="61"/>
      <c r="AJ11" s="70"/>
      <c r="AK11" s="56"/>
      <c r="AL11" s="53"/>
      <c r="AM11" s="281" t="s">
        <v>340</v>
      </c>
      <c r="AN11" s="285" t="s">
        <v>367</v>
      </c>
      <c r="AO11" s="279"/>
    </row>
    <row r="12" spans="4:41">
      <c r="D12" s="248" t="s">
        <v>394</v>
      </c>
      <c r="E12" s="249">
        <v>4292.8599999999997</v>
      </c>
      <c r="F12" s="458"/>
      <c r="G12" s="458"/>
      <c r="H12" s="311"/>
      <c r="I12" s="56"/>
      <c r="J12" s="62"/>
      <c r="K12" s="317"/>
      <c r="L12" s="53"/>
      <c r="M12" s="71"/>
      <c r="N12" s="75"/>
      <c r="O12" s="71"/>
      <c r="P12" s="56"/>
      <c r="Q12" s="56"/>
      <c r="R12" s="75"/>
      <c r="S12" s="56"/>
      <c r="T12" s="75"/>
      <c r="U12" s="71"/>
      <c r="V12" s="56"/>
      <c r="W12" s="56"/>
      <c r="X12" s="259"/>
      <c r="Y12" s="75">
        <v>1.4</v>
      </c>
      <c r="Z12" s="171"/>
      <c r="AA12" s="71"/>
      <c r="AB12" s="53" t="s">
        <v>535</v>
      </c>
      <c r="AC12" s="56">
        <v>18</v>
      </c>
      <c r="AD12" s="75"/>
      <c r="AE12" s="71"/>
      <c r="AF12" s="53"/>
      <c r="AG12" s="56"/>
      <c r="AH12" s="297"/>
      <c r="AI12" s="61"/>
      <c r="AJ12" s="70"/>
      <c r="AK12" s="56"/>
      <c r="AL12" s="53"/>
      <c r="AM12" s="281" t="s">
        <v>9</v>
      </c>
      <c r="AN12" s="285" t="s">
        <v>210</v>
      </c>
      <c r="AO12" s="279"/>
    </row>
    <row r="13" spans="4:41">
      <c r="D13" s="250" t="s">
        <v>396</v>
      </c>
      <c r="E13" s="251">
        <f>J27</f>
        <v>0</v>
      </c>
      <c r="F13" s="77"/>
      <c r="G13" s="77"/>
      <c r="H13" s="312"/>
      <c r="I13" s="56"/>
      <c r="J13" s="76"/>
      <c r="K13" s="280"/>
      <c r="L13" s="53"/>
      <c r="M13" s="71"/>
      <c r="N13" s="75"/>
      <c r="O13" s="71"/>
      <c r="P13" s="56"/>
      <c r="Q13" s="56"/>
      <c r="R13" s="75"/>
      <c r="S13" s="56"/>
      <c r="T13" s="75"/>
      <c r="U13" s="71"/>
      <c r="V13" s="56"/>
      <c r="W13" s="56"/>
      <c r="X13" s="259"/>
      <c r="Y13" s="75">
        <v>8</v>
      </c>
      <c r="Z13" s="171"/>
      <c r="AA13" s="71"/>
      <c r="AB13" s="53"/>
      <c r="AC13" s="56"/>
      <c r="AD13" s="75"/>
      <c r="AE13" s="71"/>
      <c r="AF13" s="53"/>
      <c r="AG13" s="56"/>
      <c r="AH13" s="297"/>
      <c r="AI13" s="61"/>
      <c r="AJ13" s="70"/>
      <c r="AK13" s="56"/>
      <c r="AL13" s="53"/>
      <c r="AM13" s="282" t="s">
        <v>159</v>
      </c>
      <c r="AN13" s="286" t="s">
        <v>368</v>
      </c>
      <c r="AO13" s="276"/>
    </row>
    <row r="14" spans="4:41">
      <c r="D14" s="378" t="s">
        <v>280</v>
      </c>
      <c r="E14" s="370">
        <v>200</v>
      </c>
      <c r="F14" s="379" t="s">
        <v>536</v>
      </c>
      <c r="G14" s="77"/>
      <c r="H14" s="312"/>
      <c r="I14" s="77"/>
      <c r="J14" s="76"/>
      <c r="K14" s="280"/>
      <c r="L14" s="53"/>
      <c r="M14" s="71"/>
      <c r="N14" s="75"/>
      <c r="O14" s="71"/>
      <c r="P14" s="56"/>
      <c r="Q14" s="56"/>
      <c r="R14" s="75"/>
      <c r="S14" s="56"/>
      <c r="T14" s="75"/>
      <c r="U14" s="71"/>
      <c r="V14" s="56"/>
      <c r="W14" s="56"/>
      <c r="X14" s="259"/>
      <c r="Y14" s="75">
        <v>5.51</v>
      </c>
      <c r="Z14" s="171"/>
      <c r="AA14" s="71"/>
      <c r="AB14" s="53"/>
      <c r="AC14" s="56"/>
      <c r="AD14" s="75"/>
      <c r="AE14" s="71"/>
      <c r="AF14" s="53"/>
      <c r="AG14" s="56"/>
      <c r="AH14" s="297"/>
      <c r="AI14" s="61"/>
      <c r="AJ14" s="70"/>
      <c r="AK14" s="56"/>
      <c r="AL14" s="53"/>
      <c r="AM14" s="282" t="s">
        <v>161</v>
      </c>
      <c r="AN14" s="287" t="s">
        <v>369</v>
      </c>
      <c r="AO14" s="276"/>
    </row>
    <row r="15" spans="4:41">
      <c r="D15" s="376" t="s">
        <v>452</v>
      </c>
      <c r="E15" s="374">
        <v>500</v>
      </c>
      <c r="F15" s="77"/>
      <c r="G15" s="77"/>
      <c r="H15" s="312"/>
      <c r="I15" s="77"/>
      <c r="J15" s="76"/>
      <c r="K15" s="280"/>
      <c r="L15" s="53"/>
      <c r="M15" s="71"/>
      <c r="N15" s="75"/>
      <c r="O15" s="71"/>
      <c r="P15" s="56"/>
      <c r="Q15" s="56"/>
      <c r="R15" s="75"/>
      <c r="S15" s="56"/>
      <c r="T15" s="75"/>
      <c r="U15" s="71"/>
      <c r="V15" s="56"/>
      <c r="W15" s="56"/>
      <c r="X15" s="259"/>
      <c r="Y15" s="75">
        <v>9.6999999999999993</v>
      </c>
      <c r="Z15" s="171"/>
      <c r="AA15" s="71"/>
      <c r="AB15" s="53"/>
      <c r="AC15" s="56"/>
      <c r="AD15" s="75"/>
      <c r="AE15" s="71"/>
      <c r="AF15" s="53"/>
      <c r="AG15" s="56"/>
      <c r="AH15" s="297"/>
      <c r="AI15" s="61"/>
      <c r="AJ15" s="70"/>
      <c r="AK15" s="56"/>
      <c r="AL15" s="53"/>
      <c r="AM15" s="282" t="s">
        <v>162</v>
      </c>
      <c r="AN15" s="287" t="s">
        <v>370</v>
      </c>
      <c r="AO15" s="276"/>
    </row>
    <row r="16" spans="4:41">
      <c r="D16" s="377" t="s">
        <v>524</v>
      </c>
      <c r="E16" s="377">
        <v>-1155.28</v>
      </c>
      <c r="F16" s="77"/>
      <c r="G16" s="77"/>
      <c r="H16" s="312"/>
      <c r="I16" s="56"/>
      <c r="J16" s="62"/>
      <c r="K16" s="317"/>
      <c r="L16" s="53"/>
      <c r="M16" s="71"/>
      <c r="N16" s="75"/>
      <c r="O16" s="71"/>
      <c r="P16" s="56"/>
      <c r="Q16" s="56"/>
      <c r="R16" s="75"/>
      <c r="S16" s="56"/>
      <c r="T16" s="69"/>
      <c r="U16" s="71"/>
      <c r="V16" s="56"/>
      <c r="W16" s="56"/>
      <c r="X16" s="259"/>
      <c r="Y16" s="75">
        <v>12</v>
      </c>
      <c r="Z16" s="171"/>
      <c r="AA16" s="71"/>
      <c r="AB16" s="53"/>
      <c r="AC16" s="56"/>
      <c r="AD16" s="75"/>
      <c r="AE16" s="71"/>
      <c r="AF16" s="53"/>
      <c r="AG16" s="56"/>
      <c r="AH16" s="297"/>
      <c r="AI16" s="61"/>
      <c r="AJ16" s="70"/>
      <c r="AK16" s="56"/>
      <c r="AL16" s="53"/>
      <c r="AM16" s="282" t="s">
        <v>163</v>
      </c>
      <c r="AN16" s="286" t="s">
        <v>371</v>
      </c>
      <c r="AO16" s="276"/>
    </row>
    <row r="17" spans="4:41">
      <c r="D17" s="256" t="s">
        <v>537</v>
      </c>
      <c r="E17" s="258">
        <v>-123.51</v>
      </c>
      <c r="F17" s="56"/>
      <c r="G17" s="56"/>
      <c r="H17" s="171"/>
      <c r="I17" s="458"/>
      <c r="J17" s="80"/>
      <c r="K17" s="318"/>
      <c r="L17" s="53"/>
      <c r="M17" s="71"/>
      <c r="N17" s="75"/>
      <c r="O17" s="71"/>
      <c r="P17" s="56"/>
      <c r="Q17" s="56"/>
      <c r="R17" s="75"/>
      <c r="S17" s="56"/>
      <c r="T17" s="75"/>
      <c r="U17" s="71"/>
      <c r="V17" s="56"/>
      <c r="W17" s="56"/>
      <c r="X17" s="259"/>
      <c r="Y17" s="75">
        <v>5.65</v>
      </c>
      <c r="Z17" s="171"/>
      <c r="AA17" s="71"/>
      <c r="AB17" s="53"/>
      <c r="AC17" s="56"/>
      <c r="AD17" s="75"/>
      <c r="AE17" s="71"/>
      <c r="AF17" s="53"/>
      <c r="AG17" s="56"/>
      <c r="AH17" s="297"/>
      <c r="AI17" s="61"/>
      <c r="AJ17" s="70"/>
      <c r="AK17" s="56"/>
      <c r="AL17" s="53"/>
      <c r="AM17" s="282" t="s">
        <v>224</v>
      </c>
      <c r="AN17" s="287" t="s">
        <v>225</v>
      </c>
      <c r="AO17" s="276"/>
    </row>
    <row r="18" spans="4:41" ht="17.100000000000001" thickBot="1">
      <c r="D18" s="256" t="s">
        <v>538</v>
      </c>
      <c r="E18" s="258">
        <v>60</v>
      </c>
      <c r="F18" s="461"/>
      <c r="G18" s="458"/>
      <c r="H18" s="311"/>
      <c r="I18" s="77"/>
      <c r="J18" s="76"/>
      <c r="K18" s="280"/>
      <c r="L18" s="53"/>
      <c r="M18" s="71"/>
      <c r="N18" s="75"/>
      <c r="O18" s="71"/>
      <c r="P18" s="56"/>
      <c r="Q18" s="56"/>
      <c r="R18" s="75"/>
      <c r="S18" s="56"/>
      <c r="T18" s="75"/>
      <c r="U18" s="71"/>
      <c r="V18" s="56"/>
      <c r="W18" s="56"/>
      <c r="X18" s="259"/>
      <c r="Y18" s="75">
        <v>10.79</v>
      </c>
      <c r="Z18" s="171"/>
      <c r="AA18" s="71"/>
      <c r="AB18" s="53"/>
      <c r="AC18" s="56"/>
      <c r="AD18" s="75"/>
      <c r="AE18" s="71"/>
      <c r="AF18" s="53"/>
      <c r="AG18" s="76"/>
      <c r="AH18" s="298"/>
      <c r="AI18" s="255"/>
      <c r="AJ18" s="81"/>
      <c r="AK18" s="76"/>
      <c r="AL18" s="53"/>
      <c r="AM18" s="283" t="s">
        <v>341</v>
      </c>
      <c r="AN18" s="277" t="s">
        <v>372</v>
      </c>
      <c r="AO18" s="278"/>
    </row>
    <row r="19" spans="4:41">
      <c r="D19" s="371" t="s">
        <v>227</v>
      </c>
      <c r="E19" s="372">
        <f>SUM(E12:E18)</f>
        <v>3774.0699999999997</v>
      </c>
      <c r="F19" s="77"/>
      <c r="G19" s="77"/>
      <c r="H19" s="312"/>
      <c r="I19" s="77"/>
      <c r="J19" s="76"/>
      <c r="K19" s="280"/>
      <c r="L19" s="53"/>
      <c r="M19" s="71"/>
      <c r="N19" s="75"/>
      <c r="O19" s="71"/>
      <c r="P19" s="56"/>
      <c r="Q19" s="56"/>
      <c r="R19" s="75"/>
      <c r="S19" s="56"/>
      <c r="T19" s="75"/>
      <c r="U19" s="71"/>
      <c r="V19" s="56"/>
      <c r="W19" s="56"/>
      <c r="X19" s="259"/>
      <c r="Y19" s="75">
        <v>16</v>
      </c>
      <c r="Z19" s="171"/>
      <c r="AA19" s="71"/>
      <c r="AB19" s="53"/>
      <c r="AC19" s="56"/>
      <c r="AD19" s="75"/>
      <c r="AE19" s="71"/>
      <c r="AF19" s="53"/>
      <c r="AG19" s="56"/>
      <c r="AH19" s="297"/>
      <c r="AI19" s="61"/>
      <c r="AJ19" s="70"/>
      <c r="AK19" s="56"/>
      <c r="AL19" s="53"/>
      <c r="AM19" s="53"/>
    </row>
    <row r="20" spans="4:41">
      <c r="D20" s="53"/>
      <c r="E20" s="53"/>
      <c r="F20" s="77"/>
      <c r="G20" s="77"/>
      <c r="H20" s="312"/>
      <c r="I20" s="77"/>
      <c r="J20" s="76"/>
      <c r="K20" s="280"/>
      <c r="L20" s="53"/>
      <c r="M20" s="71"/>
      <c r="N20" s="75"/>
      <c r="O20" s="71"/>
      <c r="P20" s="56"/>
      <c r="Q20" s="56"/>
      <c r="R20" s="75"/>
      <c r="S20" s="56"/>
      <c r="T20" s="75"/>
      <c r="U20" s="71"/>
      <c r="V20" s="56"/>
      <c r="W20" s="56"/>
      <c r="X20" s="259"/>
      <c r="Y20" s="75">
        <v>15.99</v>
      </c>
      <c r="Z20" s="171"/>
      <c r="AA20" s="71"/>
      <c r="AB20" s="53"/>
      <c r="AC20" s="56"/>
      <c r="AD20" s="75"/>
      <c r="AE20" s="71"/>
      <c r="AF20" s="53"/>
      <c r="AG20" s="56"/>
      <c r="AH20" s="297"/>
      <c r="AI20" s="61"/>
      <c r="AJ20" s="70"/>
      <c r="AK20" s="56"/>
      <c r="AL20" s="53"/>
      <c r="AM20" s="53"/>
    </row>
    <row r="21" spans="4:41">
      <c r="D21" s="53"/>
      <c r="E21" s="53"/>
      <c r="F21" s="77"/>
      <c r="G21" s="77"/>
      <c r="H21" s="312"/>
      <c r="I21" s="77"/>
      <c r="J21" s="76"/>
      <c r="K21" s="280"/>
      <c r="L21" s="53"/>
      <c r="M21" s="71"/>
      <c r="N21" s="75"/>
      <c r="O21" s="71"/>
      <c r="P21" s="56"/>
      <c r="Q21" s="56"/>
      <c r="R21" s="75"/>
      <c r="S21" s="56"/>
      <c r="T21" s="75"/>
      <c r="U21" s="71"/>
      <c r="V21" s="56"/>
      <c r="W21" s="56"/>
      <c r="X21" s="259"/>
      <c r="Y21" s="75">
        <v>19.809999999999999</v>
      </c>
      <c r="Z21" s="171"/>
      <c r="AA21" s="71"/>
      <c r="AB21" s="53"/>
      <c r="AC21" s="56"/>
      <c r="AD21" s="75"/>
      <c r="AE21" s="71"/>
      <c r="AF21" s="53"/>
      <c r="AG21" s="56"/>
      <c r="AH21" s="297"/>
      <c r="AI21" s="61"/>
      <c r="AJ21" s="70"/>
      <c r="AK21" s="56"/>
      <c r="AL21" s="53"/>
      <c r="AM21" s="53"/>
    </row>
    <row r="22" spans="4:41">
      <c r="D22" s="53" t="s">
        <v>539</v>
      </c>
      <c r="E22" s="56">
        <v>2710</v>
      </c>
      <c r="F22" s="77"/>
      <c r="G22" s="77"/>
      <c r="H22" s="312"/>
      <c r="I22" s="53"/>
      <c r="J22" s="74"/>
      <c r="K22" s="319"/>
      <c r="L22" s="53"/>
      <c r="M22" s="71"/>
      <c r="N22" s="75"/>
      <c r="O22" s="71"/>
      <c r="P22" s="56"/>
      <c r="Q22" s="56"/>
      <c r="R22" s="75"/>
      <c r="S22" s="56"/>
      <c r="T22" s="75"/>
      <c r="U22" s="71"/>
      <c r="V22" s="56"/>
      <c r="W22" s="56"/>
      <c r="X22" s="259"/>
      <c r="Y22" s="75">
        <v>24.15</v>
      </c>
      <c r="Z22" s="171"/>
      <c r="AA22" s="71"/>
      <c r="AB22" s="53"/>
      <c r="AC22" s="56"/>
      <c r="AD22" s="75"/>
      <c r="AE22" s="71"/>
      <c r="AF22" s="53"/>
      <c r="AG22" s="56"/>
      <c r="AH22" s="297"/>
      <c r="AI22" s="61"/>
      <c r="AJ22" s="70"/>
      <c r="AK22" s="56"/>
      <c r="AL22" s="53"/>
      <c r="AM22" s="53"/>
      <c r="AO22" s="112"/>
    </row>
    <row r="23" spans="4:41">
      <c r="D23" s="53"/>
      <c r="E23" s="53"/>
      <c r="F23" s="77"/>
      <c r="G23" s="77"/>
      <c r="H23" s="312"/>
      <c r="I23" s="53"/>
      <c r="J23" s="74"/>
      <c r="K23" s="319"/>
      <c r="L23" s="53"/>
      <c r="M23" s="71"/>
      <c r="N23" s="75"/>
      <c r="O23" s="71"/>
      <c r="P23" s="56"/>
      <c r="Q23" s="56"/>
      <c r="R23" s="75"/>
      <c r="S23" s="56"/>
      <c r="T23" s="75"/>
      <c r="U23" s="71"/>
      <c r="V23" s="56"/>
      <c r="W23" s="56"/>
      <c r="X23" s="259"/>
      <c r="Y23" s="75">
        <v>5</v>
      </c>
      <c r="Z23" s="171"/>
      <c r="AA23" s="71"/>
      <c r="AB23" s="53"/>
      <c r="AC23" s="56"/>
      <c r="AD23" s="75"/>
      <c r="AE23" s="71"/>
      <c r="AF23" s="53"/>
      <c r="AG23" s="56"/>
      <c r="AH23" s="297"/>
      <c r="AI23" s="61"/>
      <c r="AJ23" s="70"/>
      <c r="AK23" s="56"/>
      <c r="AL23" s="53"/>
      <c r="AM23" s="53"/>
      <c r="AO23" s="112"/>
    </row>
    <row r="24" spans="4:41">
      <c r="D24" s="53"/>
      <c r="E24" s="53"/>
      <c r="F24" s="77"/>
      <c r="G24" s="77"/>
      <c r="H24" s="312"/>
      <c r="I24" s="53"/>
      <c r="J24" s="74"/>
      <c r="K24" s="319"/>
      <c r="L24" s="53"/>
      <c r="M24" s="71"/>
      <c r="N24" s="75"/>
      <c r="O24" s="71"/>
      <c r="P24" s="56"/>
      <c r="Q24" s="56"/>
      <c r="R24" s="75"/>
      <c r="S24" s="56"/>
      <c r="T24" s="75"/>
      <c r="U24" s="71"/>
      <c r="V24" s="56"/>
      <c r="W24" s="56"/>
      <c r="X24" s="259"/>
      <c r="Y24" s="75">
        <v>11.87</v>
      </c>
      <c r="Z24" s="171"/>
      <c r="AA24" s="71"/>
      <c r="AB24" s="53"/>
      <c r="AC24" s="56"/>
      <c r="AD24" s="75"/>
      <c r="AE24" s="71"/>
      <c r="AF24" s="53"/>
      <c r="AG24" s="56"/>
      <c r="AH24" s="297"/>
      <c r="AI24" s="61"/>
      <c r="AJ24" s="70"/>
      <c r="AK24" s="56"/>
      <c r="AL24" s="53"/>
      <c r="AM24" s="53"/>
      <c r="AO24" s="112"/>
    </row>
    <row r="25" spans="4:41">
      <c r="D25" s="53"/>
      <c r="E25" s="53"/>
      <c r="F25" s="53"/>
      <c r="G25" s="53"/>
      <c r="H25" s="166"/>
      <c r="I25" s="53"/>
      <c r="J25" s="74"/>
      <c r="K25" s="319"/>
      <c r="L25" s="53"/>
      <c r="M25" s="71"/>
      <c r="N25" s="75"/>
      <c r="O25" s="71"/>
      <c r="P25" s="56"/>
      <c r="Q25" s="56"/>
      <c r="R25" s="75"/>
      <c r="S25" s="56"/>
      <c r="T25" s="75"/>
      <c r="U25" s="71"/>
      <c r="V25" s="56"/>
      <c r="W25" s="56"/>
      <c r="X25" s="259"/>
      <c r="Y25" s="75">
        <v>81.5</v>
      </c>
      <c r="Z25" s="171"/>
      <c r="AA25" s="71"/>
      <c r="AB25" s="53"/>
      <c r="AC25" s="56"/>
      <c r="AD25" s="75"/>
      <c r="AE25" s="71"/>
      <c r="AF25" s="53"/>
      <c r="AG25" s="56"/>
      <c r="AH25" s="297"/>
      <c r="AI25" s="61"/>
      <c r="AJ25" s="70"/>
      <c r="AK25" s="56"/>
      <c r="AL25" s="53"/>
      <c r="AM25" s="53"/>
      <c r="AO25" s="112"/>
    </row>
    <row r="26" spans="4:41">
      <c r="F26" s="53"/>
      <c r="G26" s="53"/>
      <c r="H26" s="166"/>
      <c r="I26" s="53" t="s">
        <v>227</v>
      </c>
      <c r="J26" s="62">
        <f>SUM(J7:J25)</f>
        <v>1177.92</v>
      </c>
      <c r="K26" s="317"/>
      <c r="L26" s="53"/>
      <c r="M26" s="71"/>
      <c r="N26" s="75"/>
      <c r="O26" s="71"/>
      <c r="P26" s="56"/>
      <c r="Q26" s="56"/>
      <c r="R26" s="75"/>
      <c r="S26" s="56"/>
      <c r="T26" s="75"/>
      <c r="U26" s="71"/>
      <c r="V26" s="56"/>
      <c r="W26" s="56"/>
      <c r="X26" s="259"/>
      <c r="Y26" s="75">
        <v>10.87</v>
      </c>
      <c r="Z26" s="171"/>
      <c r="AA26" s="71"/>
      <c r="AB26" s="53"/>
      <c r="AC26" s="56"/>
      <c r="AD26" s="75"/>
      <c r="AE26" s="71"/>
      <c r="AF26" s="53"/>
      <c r="AG26" s="56"/>
      <c r="AH26" s="297"/>
      <c r="AI26" s="61"/>
      <c r="AJ26" s="70"/>
      <c r="AK26" s="56"/>
      <c r="AL26" s="53"/>
      <c r="AM26" s="53"/>
      <c r="AO26" s="112"/>
    </row>
    <row r="27" spans="4:41">
      <c r="F27" s="53"/>
      <c r="G27" s="53"/>
      <c r="H27" s="166"/>
      <c r="I27" s="53" t="s">
        <v>16</v>
      </c>
      <c r="J27" s="62">
        <v>0</v>
      </c>
      <c r="K27" s="317"/>
      <c r="L27" s="53"/>
      <c r="M27" s="71"/>
      <c r="N27" s="75"/>
      <c r="O27" s="71"/>
      <c r="P27" s="56"/>
      <c r="Q27" s="56"/>
      <c r="R27" s="75"/>
      <c r="S27" s="56"/>
      <c r="T27" s="75"/>
      <c r="U27" s="71"/>
      <c r="V27" s="56"/>
      <c r="W27" s="56"/>
      <c r="X27" s="259"/>
      <c r="Y27" s="75"/>
      <c r="Z27" s="171"/>
      <c r="AA27" s="71"/>
      <c r="AB27" s="53"/>
      <c r="AC27" s="56"/>
      <c r="AD27" s="75"/>
      <c r="AE27" s="71"/>
      <c r="AF27" s="53"/>
      <c r="AG27" s="56"/>
      <c r="AH27" s="297"/>
      <c r="AI27" s="61"/>
      <c r="AJ27" s="70"/>
      <c r="AK27" s="56"/>
      <c r="AL27" s="53"/>
      <c r="AM27" s="53"/>
      <c r="AO27" s="112"/>
    </row>
    <row r="28" spans="4:41">
      <c r="E28" s="6"/>
      <c r="F28" s="53"/>
      <c r="G28" s="53"/>
      <c r="H28" s="166"/>
      <c r="I28" s="53" t="s">
        <v>373</v>
      </c>
      <c r="J28" s="62">
        <v>0</v>
      </c>
      <c r="K28" s="317"/>
      <c r="L28" s="53"/>
      <c r="M28" s="71"/>
      <c r="N28" s="75"/>
      <c r="O28" s="71"/>
      <c r="P28" s="56"/>
      <c r="Q28" s="56"/>
      <c r="R28" s="75"/>
      <c r="S28" s="56"/>
      <c r="T28" s="75"/>
      <c r="U28" s="71"/>
      <c r="V28" s="56"/>
      <c r="W28" s="56"/>
      <c r="X28" s="259"/>
      <c r="Y28" s="75"/>
      <c r="Z28" s="171"/>
      <c r="AA28" s="71"/>
      <c r="AB28" s="53"/>
      <c r="AC28" s="56"/>
      <c r="AD28" s="75"/>
      <c r="AE28" s="71"/>
      <c r="AF28" s="53"/>
      <c r="AG28" s="56"/>
      <c r="AH28" s="297"/>
      <c r="AI28" s="61"/>
      <c r="AJ28" s="70"/>
      <c r="AK28" s="56"/>
      <c r="AL28" s="53"/>
      <c r="AM28" s="53"/>
    </row>
    <row r="29" spans="4:41">
      <c r="F29" s="53"/>
      <c r="G29" s="53"/>
      <c r="H29" s="166"/>
      <c r="I29" s="53"/>
      <c r="J29" s="62"/>
      <c r="K29" s="317"/>
      <c r="L29" s="53"/>
      <c r="M29" s="71"/>
      <c r="N29" s="75"/>
      <c r="O29" s="71"/>
      <c r="P29" s="56"/>
      <c r="Q29" s="56"/>
      <c r="R29" s="75"/>
      <c r="S29" s="56"/>
      <c r="T29" s="75"/>
      <c r="U29" s="71"/>
      <c r="V29" s="56"/>
      <c r="W29" s="56"/>
      <c r="X29" s="259"/>
      <c r="Y29" s="75"/>
      <c r="Z29" s="171"/>
      <c r="AA29" s="71"/>
      <c r="AB29" s="53"/>
      <c r="AC29" s="56"/>
      <c r="AD29" s="75"/>
      <c r="AE29" s="71"/>
      <c r="AF29" s="53"/>
      <c r="AG29" s="56"/>
      <c r="AH29" s="297"/>
      <c r="AI29" s="61"/>
      <c r="AJ29" s="70"/>
      <c r="AK29" s="56"/>
      <c r="AL29" s="53"/>
      <c r="AM29" s="53"/>
    </row>
    <row r="30" spans="4:41">
      <c r="F30" s="53"/>
      <c r="G30" s="53"/>
      <c r="H30" s="478" t="s">
        <v>229</v>
      </c>
      <c r="I30" s="479"/>
      <c r="J30" s="313">
        <f>J26-J27-J28-J29</f>
        <v>1177.92</v>
      </c>
      <c r="K30" s="480">
        <f>SUM(M7:M29)</f>
        <v>437</v>
      </c>
      <c r="L30" s="480"/>
      <c r="M30" s="481"/>
      <c r="N30" s="482">
        <f>SUM(O7:O29)</f>
        <v>0</v>
      </c>
      <c r="O30" s="481"/>
      <c r="P30" s="480">
        <f>SUM(Q7:Q29)</f>
        <v>46.7</v>
      </c>
      <c r="Q30" s="480"/>
      <c r="R30" s="482">
        <f>SUM(S7:S29)</f>
        <v>34</v>
      </c>
      <c r="S30" s="481"/>
      <c r="T30" s="482">
        <f>SUM(U7:U29)</f>
        <v>5</v>
      </c>
      <c r="U30" s="481"/>
      <c r="V30" s="471">
        <f>SUM(W7:W29)</f>
        <v>9.2900000000000009</v>
      </c>
      <c r="W30" s="471"/>
      <c r="X30" s="315">
        <f>SUM(X7:X29)</f>
        <v>0</v>
      </c>
      <c r="Y30" s="275">
        <f>SUM(Y7:Y29)</f>
        <v>280.84000000000003</v>
      </c>
      <c r="Z30" s="472">
        <f>SUM(AA7:AA29)</f>
        <v>31.1</v>
      </c>
      <c r="AA30" s="473"/>
      <c r="AB30" s="474">
        <f>SUM(AC7:AC29)</f>
        <v>167.37</v>
      </c>
      <c r="AC30" s="474"/>
      <c r="AD30" s="475">
        <f>SUM(AE7:AE29)</f>
        <v>11</v>
      </c>
      <c r="AE30" s="473"/>
      <c r="AF30" s="474">
        <f>SUM(AG7:AG29)</f>
        <v>76.5</v>
      </c>
      <c r="AG30" s="474"/>
      <c r="AH30" s="299">
        <f>SUM(AH7:AH29)</f>
        <v>14.13</v>
      </c>
      <c r="AI30" s="476">
        <f>SUM(AJ7:AJ29)</f>
        <v>16.86</v>
      </c>
      <c r="AJ30" s="477"/>
      <c r="AK30" s="56"/>
      <c r="AL30" s="53"/>
      <c r="AM30" s="53"/>
    </row>
    <row r="31" spans="4:41" ht="17.100000000000001" thickBot="1">
      <c r="F31" s="53"/>
      <c r="G31" s="53"/>
      <c r="H31" s="462" t="s">
        <v>470</v>
      </c>
      <c r="I31" s="463"/>
      <c r="J31" s="314">
        <f>J30-K32</f>
        <v>48.130000000000109</v>
      </c>
      <c r="K31" s="464">
        <f>SUM(K30:Y30)</f>
        <v>812.83</v>
      </c>
      <c r="L31" s="464"/>
      <c r="M31" s="464"/>
      <c r="N31" s="464"/>
      <c r="O31" s="464"/>
      <c r="P31" s="464"/>
      <c r="Q31" s="464"/>
      <c r="R31" s="464"/>
      <c r="S31" s="464"/>
      <c r="T31" s="464"/>
      <c r="U31" s="464"/>
      <c r="V31" s="464"/>
      <c r="W31" s="464"/>
      <c r="X31" s="464"/>
      <c r="Y31" s="464"/>
      <c r="Z31" s="465">
        <f>SUM(Z30:AJ30)</f>
        <v>316.96000000000004</v>
      </c>
      <c r="AA31" s="466"/>
      <c r="AB31" s="466"/>
      <c r="AC31" s="466"/>
      <c r="AD31" s="466"/>
      <c r="AE31" s="466"/>
      <c r="AF31" s="466"/>
      <c r="AG31" s="466"/>
      <c r="AH31" s="466"/>
      <c r="AI31" s="466"/>
      <c r="AJ31" s="467"/>
      <c r="AK31" s="56"/>
      <c r="AL31" s="53"/>
      <c r="AM31" s="56"/>
    </row>
    <row r="32" spans="4:41" ht="21" thickTop="1" thickBot="1">
      <c r="F32" s="53"/>
      <c r="G32" s="53"/>
      <c r="H32" s="53"/>
      <c r="I32" s="56"/>
      <c r="J32" s="62"/>
      <c r="K32" s="468">
        <f>SUM(K31:AG31)</f>
        <v>1129.79</v>
      </c>
      <c r="L32" s="469"/>
      <c r="M32" s="469"/>
      <c r="N32" s="469"/>
      <c r="O32" s="469"/>
      <c r="P32" s="469"/>
      <c r="Q32" s="469"/>
      <c r="R32" s="469"/>
      <c r="S32" s="469"/>
      <c r="T32" s="469"/>
      <c r="U32" s="469"/>
      <c r="V32" s="469"/>
      <c r="W32" s="469"/>
      <c r="X32" s="469"/>
      <c r="Y32" s="469"/>
      <c r="Z32" s="469"/>
      <c r="AA32" s="469"/>
      <c r="AB32" s="469"/>
      <c r="AC32" s="469"/>
      <c r="AD32" s="469"/>
      <c r="AE32" s="469"/>
      <c r="AF32" s="469"/>
      <c r="AG32" s="469"/>
      <c r="AH32" s="469"/>
      <c r="AI32" s="469"/>
      <c r="AJ32" s="470"/>
      <c r="AK32" s="56"/>
      <c r="AL32" s="53"/>
    </row>
    <row r="33" spans="6:6">
      <c r="F33" s="53"/>
    </row>
  </sheetData>
  <mergeCells count="32">
    <mergeCell ref="H31:I31"/>
    <mergeCell ref="K31:Y31"/>
    <mergeCell ref="Z31:AJ31"/>
    <mergeCell ref="K32:AJ32"/>
    <mergeCell ref="V30:W30"/>
    <mergeCell ref="Z30:AA30"/>
    <mergeCell ref="AB30:AC30"/>
    <mergeCell ref="AD30:AE30"/>
    <mergeCell ref="AF30:AG30"/>
    <mergeCell ref="AI30:AJ30"/>
    <mergeCell ref="H30:I30"/>
    <mergeCell ref="K30:M30"/>
    <mergeCell ref="N30:O30"/>
    <mergeCell ref="P30:Q30"/>
    <mergeCell ref="R30:S30"/>
    <mergeCell ref="T30:U30"/>
    <mergeCell ref="D11:E11"/>
    <mergeCell ref="D4:E4"/>
    <mergeCell ref="H4:AJ4"/>
    <mergeCell ref="AM4:AO4"/>
    <mergeCell ref="H5:J5"/>
    <mergeCell ref="K5:M5"/>
    <mergeCell ref="N5:O5"/>
    <mergeCell ref="P5:Q5"/>
    <mergeCell ref="R5:S5"/>
    <mergeCell ref="T5:U5"/>
    <mergeCell ref="V5:W5"/>
    <mergeCell ref="Z5:AA5"/>
    <mergeCell ref="AB5:AC5"/>
    <mergeCell ref="AD5:AE5"/>
    <mergeCell ref="AF5:AG5"/>
    <mergeCell ref="AI5:AJ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D56C-D4E6-6D48-90F8-847713002A1A}">
  <sheetPr>
    <tabColor theme="9" tint="0.59999389629810485"/>
  </sheetPr>
  <dimension ref="C1:AN37"/>
  <sheetViews>
    <sheetView tabSelected="1" topLeftCell="U3" zoomScale="75" workbookViewId="0">
      <selection activeCell="AE7" sqref="AE7"/>
    </sheetView>
  </sheetViews>
  <sheetFormatPr defaultColWidth="11" defaultRowHeight="15.95"/>
  <cols>
    <col min="3" max="3" width="20.875" customWidth="1"/>
    <col min="4" max="4" width="16" customWidth="1"/>
    <col min="7" max="7" width="11.125" customWidth="1"/>
    <col min="8" max="8" width="25" customWidth="1"/>
    <col min="11" max="11" width="17.625" customWidth="1"/>
    <col min="15" max="15" width="20.5" customWidth="1"/>
    <col min="25" max="25" width="17.375" customWidth="1"/>
    <col min="27" max="27" width="16.625" customWidth="1"/>
    <col min="34" max="34" width="13" customWidth="1"/>
    <col min="38" max="38" width="22.625" customWidth="1"/>
    <col min="39" max="39" width="82.125" customWidth="1"/>
  </cols>
  <sheetData>
    <row r="1" spans="3:40" ht="17.100000000000001" thickBot="1"/>
    <row r="2" spans="3:40" ht="21.95" thickBot="1">
      <c r="C2" s="484" t="s">
        <v>0</v>
      </c>
      <c r="D2" s="485"/>
      <c r="E2" s="456"/>
      <c r="F2" s="456"/>
      <c r="G2" s="486" t="s">
        <v>540</v>
      </c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7"/>
      <c r="T2" s="487"/>
      <c r="U2" s="487"/>
      <c r="V2" s="487"/>
      <c r="W2" s="487"/>
      <c r="X2" s="487"/>
      <c r="Y2" s="487"/>
      <c r="Z2" s="487"/>
      <c r="AA2" s="487"/>
      <c r="AB2" s="487"/>
      <c r="AC2" s="487"/>
      <c r="AD2" s="487"/>
      <c r="AE2" s="487"/>
      <c r="AF2" s="487"/>
      <c r="AG2" s="487"/>
      <c r="AH2" s="487"/>
      <c r="AI2" s="488"/>
      <c r="AJ2" s="459"/>
      <c r="AK2" s="53"/>
      <c r="AL2" s="489" t="s">
        <v>333</v>
      </c>
      <c r="AM2" s="490"/>
      <c r="AN2" s="491"/>
    </row>
    <row r="3" spans="3:40">
      <c r="C3" s="291" t="s">
        <v>1</v>
      </c>
      <c r="D3" s="288">
        <f>J29</f>
        <v>541.85</v>
      </c>
      <c r="E3" s="458"/>
      <c r="F3" s="458"/>
      <c r="G3" s="492" t="s">
        <v>460</v>
      </c>
      <c r="H3" s="493"/>
      <c r="I3" s="494"/>
      <c r="J3" s="495" t="s">
        <v>334</v>
      </c>
      <c r="K3" s="496"/>
      <c r="L3" s="497"/>
      <c r="M3" s="498" t="s">
        <v>335</v>
      </c>
      <c r="N3" s="497"/>
      <c r="O3" s="496" t="s">
        <v>336</v>
      </c>
      <c r="P3" s="496"/>
      <c r="Q3" s="498" t="s">
        <v>337</v>
      </c>
      <c r="R3" s="497"/>
      <c r="S3" s="498" t="s">
        <v>461</v>
      </c>
      <c r="T3" s="497"/>
      <c r="U3" s="498" t="s">
        <v>339</v>
      </c>
      <c r="V3" s="496"/>
      <c r="W3" s="310" t="s">
        <v>340</v>
      </c>
      <c r="X3" s="452" t="s">
        <v>9</v>
      </c>
      <c r="Y3" s="499" t="s">
        <v>159</v>
      </c>
      <c r="Z3" s="500"/>
      <c r="AA3" s="501" t="s">
        <v>11</v>
      </c>
      <c r="AB3" s="500"/>
      <c r="AC3" s="501" t="s">
        <v>162</v>
      </c>
      <c r="AD3" s="500"/>
      <c r="AE3" s="501" t="s">
        <v>163</v>
      </c>
      <c r="AF3" s="502"/>
      <c r="AG3" s="295" t="s">
        <v>224</v>
      </c>
      <c r="AH3" s="503" t="s">
        <v>341</v>
      </c>
      <c r="AI3" s="504"/>
      <c r="AJ3" s="458"/>
      <c r="AK3" s="53"/>
      <c r="AL3" s="281" t="s">
        <v>334</v>
      </c>
      <c r="AM3" s="284" t="s">
        <v>342</v>
      </c>
      <c r="AN3" s="279"/>
    </row>
    <row r="4" spans="3:40">
      <c r="C4" s="292" t="s">
        <v>154</v>
      </c>
      <c r="D4" s="289">
        <f>Y29</f>
        <v>312.15999999999997</v>
      </c>
      <c r="E4" s="56"/>
      <c r="F4" s="56"/>
      <c r="G4" s="171" t="s">
        <v>462</v>
      </c>
      <c r="H4" s="457" t="s">
        <v>6</v>
      </c>
      <c r="I4" s="58" t="s">
        <v>7</v>
      </c>
      <c r="J4" s="316" t="s">
        <v>462</v>
      </c>
      <c r="K4" s="64" t="s">
        <v>166</v>
      </c>
      <c r="L4" s="67" t="s">
        <v>7</v>
      </c>
      <c r="M4" s="87" t="s">
        <v>166</v>
      </c>
      <c r="N4" s="67" t="s">
        <v>7</v>
      </c>
      <c r="O4" s="64" t="s">
        <v>166</v>
      </c>
      <c r="P4" s="64" t="s">
        <v>7</v>
      </c>
      <c r="Q4" s="87" t="s">
        <v>166</v>
      </c>
      <c r="R4" s="64" t="s">
        <v>7</v>
      </c>
      <c r="S4" s="87" t="s">
        <v>166</v>
      </c>
      <c r="T4" s="64" t="s">
        <v>7</v>
      </c>
      <c r="U4" s="87" t="s">
        <v>166</v>
      </c>
      <c r="V4" s="64" t="s">
        <v>7</v>
      </c>
      <c r="W4" s="301" t="s">
        <v>7</v>
      </c>
      <c r="X4" s="169" t="s">
        <v>7</v>
      </c>
      <c r="Y4" s="446" t="s">
        <v>166</v>
      </c>
      <c r="Z4" s="67" t="s">
        <v>7</v>
      </c>
      <c r="AA4" s="64" t="s">
        <v>166</v>
      </c>
      <c r="AB4" s="64" t="s">
        <v>7</v>
      </c>
      <c r="AC4" s="87" t="s">
        <v>166</v>
      </c>
      <c r="AD4" s="67" t="s">
        <v>7</v>
      </c>
      <c r="AE4" s="64" t="s">
        <v>166</v>
      </c>
      <c r="AF4" s="64" t="s">
        <v>7</v>
      </c>
      <c r="AG4" s="296" t="s">
        <v>7</v>
      </c>
      <c r="AH4" s="448" t="s">
        <v>166</v>
      </c>
      <c r="AI4" s="447" t="s">
        <v>7</v>
      </c>
      <c r="AJ4" s="460"/>
      <c r="AK4" s="53"/>
      <c r="AL4" s="281" t="s">
        <v>335</v>
      </c>
      <c r="AM4" s="284" t="s">
        <v>343</v>
      </c>
      <c r="AN4" s="279"/>
    </row>
    <row r="5" spans="3:40">
      <c r="C5" s="293" t="s">
        <v>227</v>
      </c>
      <c r="D5" s="290">
        <f>D3+D4</f>
        <v>854.01</v>
      </c>
      <c r="E5" s="56"/>
      <c r="F5" s="56"/>
      <c r="G5" s="171"/>
      <c r="H5" s="56" t="s">
        <v>175</v>
      </c>
      <c r="I5" s="62">
        <v>49.58</v>
      </c>
      <c r="J5" s="317" t="s">
        <v>541</v>
      </c>
      <c r="K5" s="53" t="s">
        <v>464</v>
      </c>
      <c r="L5" s="71">
        <v>50</v>
      </c>
      <c r="M5" s="75"/>
      <c r="N5" s="71"/>
      <c r="O5" s="53"/>
      <c r="P5" s="71">
        <v>12.5</v>
      </c>
      <c r="Q5" s="53" t="s">
        <v>183</v>
      </c>
      <c r="R5" s="71">
        <v>20</v>
      </c>
      <c r="S5" s="69" t="s">
        <v>542</v>
      </c>
      <c r="T5" s="71">
        <v>5</v>
      </c>
      <c r="U5" s="56" t="s">
        <v>543</v>
      </c>
      <c r="V5" s="56">
        <v>3.3</v>
      </c>
      <c r="W5" s="259"/>
      <c r="X5" s="75">
        <v>4.7</v>
      </c>
      <c r="Y5" s="171" t="s">
        <v>544</v>
      </c>
      <c r="Z5" s="71">
        <v>33</v>
      </c>
      <c r="AA5" s="69" t="s">
        <v>545</v>
      </c>
      <c r="AB5" s="71">
        <v>30</v>
      </c>
      <c r="AC5" s="53"/>
      <c r="AD5" s="71"/>
      <c r="AE5" s="53" t="s">
        <v>546</v>
      </c>
      <c r="AF5" s="70">
        <v>3.5</v>
      </c>
      <c r="AG5" s="56">
        <v>5.0599999999999996</v>
      </c>
      <c r="AH5" s="61"/>
      <c r="AI5" s="70"/>
      <c r="AJ5" s="56"/>
      <c r="AK5" s="53"/>
      <c r="AL5" s="281" t="s">
        <v>350</v>
      </c>
      <c r="AM5" s="284" t="s">
        <v>351</v>
      </c>
      <c r="AN5" s="279"/>
    </row>
    <row r="6" spans="3:40">
      <c r="C6" s="294" t="s">
        <v>470</v>
      </c>
      <c r="D6" s="60">
        <f>I29</f>
        <v>169.6400000000001</v>
      </c>
      <c r="E6" s="56"/>
      <c r="F6" s="56"/>
      <c r="G6" s="171"/>
      <c r="H6" s="56" t="s">
        <v>524</v>
      </c>
      <c r="I6" s="62">
        <v>774.07</v>
      </c>
      <c r="J6" s="317" t="s">
        <v>547</v>
      </c>
      <c r="K6" s="53" t="s">
        <v>548</v>
      </c>
      <c r="L6" s="71">
        <v>50</v>
      </c>
      <c r="M6" s="75"/>
      <c r="N6" s="71"/>
      <c r="O6" s="53" t="s">
        <v>549</v>
      </c>
      <c r="P6" s="56">
        <v>21.5</v>
      </c>
      <c r="Q6" s="75"/>
      <c r="R6" s="56"/>
      <c r="S6" s="75"/>
      <c r="T6" s="71"/>
      <c r="U6" s="56" t="s">
        <v>543</v>
      </c>
      <c r="V6" s="56">
        <v>2.99</v>
      </c>
      <c r="W6" s="259"/>
      <c r="X6" s="75">
        <v>6.65</v>
      </c>
      <c r="Y6" s="171" t="s">
        <v>550</v>
      </c>
      <c r="Z6" s="71">
        <v>8</v>
      </c>
      <c r="AA6" s="53" t="s">
        <v>551</v>
      </c>
      <c r="AB6" s="56">
        <v>6</v>
      </c>
      <c r="AC6" s="75"/>
      <c r="AD6" s="71"/>
      <c r="AE6" s="53" t="s">
        <v>552</v>
      </c>
      <c r="AF6" s="56">
        <v>2.2000000000000002</v>
      </c>
      <c r="AG6" s="297"/>
      <c r="AH6" s="61" t="s">
        <v>553</v>
      </c>
      <c r="AI6" s="70">
        <v>16.559999999999999</v>
      </c>
      <c r="AJ6" s="56"/>
      <c r="AK6" s="53"/>
      <c r="AL6" s="281" t="s">
        <v>357</v>
      </c>
      <c r="AM6" s="284" t="s">
        <v>358</v>
      </c>
      <c r="AN6" s="279"/>
    </row>
    <row r="7" spans="3:40">
      <c r="C7" s="72"/>
      <c r="D7" s="126"/>
      <c r="E7" s="56"/>
      <c r="F7" s="56"/>
      <c r="G7" s="171"/>
      <c r="H7" s="56" t="s">
        <v>527</v>
      </c>
      <c r="I7" s="62">
        <v>200</v>
      </c>
      <c r="J7" s="317"/>
      <c r="K7" s="53" t="s">
        <v>528</v>
      </c>
      <c r="L7" s="71">
        <v>4</v>
      </c>
      <c r="M7" s="75"/>
      <c r="N7" s="71"/>
      <c r="O7" s="56" t="s">
        <v>554</v>
      </c>
      <c r="P7" s="56">
        <v>57</v>
      </c>
      <c r="Q7" s="75"/>
      <c r="R7" s="56"/>
      <c r="S7" s="75"/>
      <c r="T7" s="71"/>
      <c r="U7" s="56" t="s">
        <v>543</v>
      </c>
      <c r="V7" s="56">
        <v>3.3</v>
      </c>
      <c r="W7" s="259"/>
      <c r="X7" s="75">
        <v>18</v>
      </c>
      <c r="Y7" s="171" t="s">
        <v>550</v>
      </c>
      <c r="Z7" s="71">
        <v>8</v>
      </c>
      <c r="AA7" s="53" t="s">
        <v>555</v>
      </c>
      <c r="AB7" s="56">
        <v>41.64</v>
      </c>
      <c r="AC7" s="75"/>
      <c r="AD7" s="71"/>
      <c r="AE7" s="53" t="s">
        <v>556</v>
      </c>
      <c r="AF7" s="56">
        <v>16</v>
      </c>
      <c r="AG7" s="297"/>
      <c r="AH7" s="61"/>
      <c r="AI7" s="70"/>
      <c r="AJ7" s="56"/>
      <c r="AK7" s="53"/>
      <c r="AL7" s="281" t="s">
        <v>363</v>
      </c>
      <c r="AM7" s="284" t="s">
        <v>364</v>
      </c>
      <c r="AN7" s="279"/>
    </row>
    <row r="8" spans="3:40">
      <c r="C8" s="53"/>
      <c r="D8" s="56"/>
      <c r="E8" s="56"/>
      <c r="F8" s="56"/>
      <c r="G8" s="373"/>
      <c r="H8" s="56"/>
      <c r="I8" s="62"/>
      <c r="J8" s="317"/>
      <c r="K8" s="53" t="s">
        <v>528</v>
      </c>
      <c r="L8" s="71">
        <v>4</v>
      </c>
      <c r="M8" s="75"/>
      <c r="N8" s="71"/>
      <c r="O8" s="56" t="s">
        <v>557</v>
      </c>
      <c r="P8" s="56">
        <v>2</v>
      </c>
      <c r="Q8" s="75"/>
      <c r="R8" s="56"/>
      <c r="S8" s="75"/>
      <c r="T8" s="71"/>
      <c r="U8" s="56" t="s">
        <v>543</v>
      </c>
      <c r="V8" s="56">
        <v>24</v>
      </c>
      <c r="W8" s="259"/>
      <c r="X8" s="273">
        <v>2.5</v>
      </c>
      <c r="Y8" s="56" t="s">
        <v>558</v>
      </c>
      <c r="Z8" s="71">
        <v>27.6</v>
      </c>
      <c r="AA8" s="53" t="s">
        <v>559</v>
      </c>
      <c r="AB8" s="56">
        <v>16.850000000000001</v>
      </c>
      <c r="AC8" s="75"/>
      <c r="AD8" s="71"/>
      <c r="AE8" s="53" t="s">
        <v>560</v>
      </c>
      <c r="AF8" s="56">
        <v>8.99</v>
      </c>
      <c r="AG8" s="297"/>
      <c r="AH8" s="61"/>
      <c r="AI8" s="70"/>
      <c r="AJ8" s="56"/>
      <c r="AK8" s="53"/>
      <c r="AL8" s="281" t="s">
        <v>201</v>
      </c>
      <c r="AM8" s="285" t="s">
        <v>202</v>
      </c>
      <c r="AN8" s="279"/>
    </row>
    <row r="9" spans="3:40">
      <c r="C9" s="483" t="s">
        <v>392</v>
      </c>
      <c r="D9" s="483"/>
      <c r="E9" s="56"/>
      <c r="F9" s="56"/>
      <c r="G9" s="171"/>
      <c r="H9" s="56"/>
      <c r="I9" s="62"/>
      <c r="J9" s="317"/>
      <c r="K9" s="53" t="s">
        <v>528</v>
      </c>
      <c r="L9" s="71">
        <v>4.5</v>
      </c>
      <c r="M9" s="75"/>
      <c r="N9" s="71"/>
      <c r="O9" s="56" t="s">
        <v>561</v>
      </c>
      <c r="P9" s="56">
        <v>32</v>
      </c>
      <c r="Q9" s="75"/>
      <c r="R9" s="56"/>
      <c r="S9" s="75"/>
      <c r="T9" s="71"/>
      <c r="U9" s="56"/>
      <c r="V9" s="56"/>
      <c r="W9" s="259"/>
      <c r="X9" s="273">
        <v>29</v>
      </c>
      <c r="Y9" s="56" t="s">
        <v>562</v>
      </c>
      <c r="Z9" s="71">
        <v>10</v>
      </c>
      <c r="AA9" s="53" t="s">
        <v>563</v>
      </c>
      <c r="AB9" s="56">
        <v>4.99</v>
      </c>
      <c r="AC9" s="75"/>
      <c r="AD9" s="71"/>
      <c r="AE9" s="53" t="s">
        <v>564</v>
      </c>
      <c r="AF9" s="56">
        <v>2.2000000000000002</v>
      </c>
      <c r="AG9" s="297"/>
      <c r="AH9" s="61"/>
      <c r="AI9" s="70"/>
      <c r="AJ9" s="56"/>
      <c r="AK9" s="53"/>
      <c r="AL9" s="281" t="s">
        <v>340</v>
      </c>
      <c r="AM9" s="285" t="s">
        <v>367</v>
      </c>
      <c r="AN9" s="279"/>
    </row>
    <row r="10" spans="3:40">
      <c r="C10" s="248" t="s">
        <v>394</v>
      </c>
      <c r="D10" s="249">
        <v>3774.07</v>
      </c>
      <c r="E10" s="458"/>
      <c r="F10" s="458"/>
      <c r="G10" s="311"/>
      <c r="H10" s="56"/>
      <c r="I10" s="62"/>
      <c r="J10" s="317"/>
      <c r="K10" s="53"/>
      <c r="L10" s="71"/>
      <c r="M10" s="75"/>
      <c r="N10" s="71"/>
      <c r="O10" s="56" t="s">
        <v>565</v>
      </c>
      <c r="P10" s="56">
        <v>15</v>
      </c>
      <c r="Q10" s="75"/>
      <c r="R10" s="56"/>
      <c r="S10" s="75"/>
      <c r="T10" s="71"/>
      <c r="U10" s="56"/>
      <c r="V10" s="56"/>
      <c r="W10" s="259"/>
      <c r="X10" s="75">
        <v>5</v>
      </c>
      <c r="Y10" s="171" t="s">
        <v>566</v>
      </c>
      <c r="Z10" s="71">
        <v>5</v>
      </c>
      <c r="AA10" s="53" t="s">
        <v>567</v>
      </c>
      <c r="AB10" s="56">
        <v>23.77</v>
      </c>
      <c r="AC10" s="75"/>
      <c r="AD10" s="71"/>
      <c r="AE10" s="53" t="s">
        <v>568</v>
      </c>
      <c r="AF10" s="56">
        <v>1.5</v>
      </c>
      <c r="AG10" s="297"/>
      <c r="AH10" s="61"/>
      <c r="AI10" s="70"/>
      <c r="AJ10" s="56"/>
      <c r="AK10" s="53"/>
      <c r="AL10" s="281" t="s">
        <v>9</v>
      </c>
      <c r="AM10" s="285" t="s">
        <v>210</v>
      </c>
      <c r="AN10" s="279"/>
    </row>
    <row r="11" spans="3:40">
      <c r="C11" s="248" t="s">
        <v>396</v>
      </c>
      <c r="D11" s="251">
        <f>I25</f>
        <v>0</v>
      </c>
      <c r="E11" s="77"/>
      <c r="F11" s="77"/>
      <c r="G11" s="312"/>
      <c r="H11" s="56"/>
      <c r="I11" s="76"/>
      <c r="J11" s="280"/>
      <c r="K11" s="53"/>
      <c r="L11" s="71"/>
      <c r="M11" s="75"/>
      <c r="N11" s="71"/>
      <c r="O11" s="56" t="s">
        <v>565</v>
      </c>
      <c r="P11" s="56">
        <v>18.5</v>
      </c>
      <c r="Q11" s="75"/>
      <c r="R11" s="56"/>
      <c r="S11" s="75"/>
      <c r="T11" s="71"/>
      <c r="U11" s="56"/>
      <c r="V11" s="56"/>
      <c r="W11" s="259"/>
      <c r="X11" s="75">
        <v>30</v>
      </c>
      <c r="Y11" s="171" t="s">
        <v>569</v>
      </c>
      <c r="Z11" s="71">
        <v>7.6</v>
      </c>
      <c r="AA11" s="53" t="s">
        <v>570</v>
      </c>
      <c r="AB11" s="56">
        <v>10.9</v>
      </c>
      <c r="AC11" s="75"/>
      <c r="AD11" s="71"/>
      <c r="AE11" s="53"/>
      <c r="AF11" s="56"/>
      <c r="AG11" s="297"/>
      <c r="AH11" s="61"/>
      <c r="AI11" s="70"/>
      <c r="AJ11" s="56"/>
      <c r="AK11" s="53"/>
      <c r="AL11" s="282" t="s">
        <v>159</v>
      </c>
      <c r="AM11" s="286" t="s">
        <v>368</v>
      </c>
      <c r="AN11" s="276"/>
    </row>
    <row r="12" spans="3:40">
      <c r="C12" s="375" t="s">
        <v>280</v>
      </c>
      <c r="D12" s="370">
        <v>200</v>
      </c>
      <c r="E12" s="379" t="s">
        <v>571</v>
      </c>
      <c r="F12" s="77"/>
      <c r="G12" s="312"/>
      <c r="H12" s="77"/>
      <c r="I12" s="76"/>
      <c r="J12" s="280"/>
      <c r="K12" s="53"/>
      <c r="L12" s="71"/>
      <c r="M12" s="75"/>
      <c r="N12" s="71"/>
      <c r="O12" s="56"/>
      <c r="P12" s="56"/>
      <c r="Q12" s="75"/>
      <c r="R12" s="56"/>
      <c r="S12" s="75"/>
      <c r="T12" s="71"/>
      <c r="U12" s="56"/>
      <c r="V12" s="56"/>
      <c r="W12" s="259"/>
      <c r="X12" s="75">
        <v>8.25</v>
      </c>
      <c r="Y12" s="171" t="s">
        <v>572</v>
      </c>
      <c r="Z12" s="71">
        <v>10.8</v>
      </c>
      <c r="AA12" s="53" t="s">
        <v>573</v>
      </c>
      <c r="AB12" s="56">
        <v>12</v>
      </c>
      <c r="AC12" s="75"/>
      <c r="AD12" s="71"/>
      <c r="AE12" s="53"/>
      <c r="AF12" s="56"/>
      <c r="AG12" s="297"/>
      <c r="AH12" s="61"/>
      <c r="AI12" s="70"/>
      <c r="AJ12" s="56"/>
      <c r="AK12" s="53"/>
      <c r="AL12" s="282" t="s">
        <v>161</v>
      </c>
      <c r="AM12" s="287" t="s">
        <v>369</v>
      </c>
      <c r="AN12" s="276"/>
    </row>
    <row r="13" spans="3:40">
      <c r="C13" s="377" t="s">
        <v>524</v>
      </c>
      <c r="D13" s="374">
        <v>-974.07</v>
      </c>
      <c r="E13" s="77"/>
      <c r="F13" s="77"/>
      <c r="G13" s="312"/>
      <c r="H13" s="77"/>
      <c r="I13" s="76"/>
      <c r="J13" s="280"/>
      <c r="K13" s="53"/>
      <c r="L13" s="71"/>
      <c r="M13" s="75"/>
      <c r="N13" s="71"/>
      <c r="O13" s="56"/>
      <c r="P13" s="56"/>
      <c r="Q13" s="75"/>
      <c r="R13" s="56"/>
      <c r="S13" s="75"/>
      <c r="T13" s="71"/>
      <c r="U13" s="56"/>
      <c r="V13" s="56"/>
      <c r="W13" s="259"/>
      <c r="X13" s="75">
        <v>2.75</v>
      </c>
      <c r="Y13" s="171"/>
      <c r="Z13" s="71"/>
      <c r="AA13" s="53"/>
      <c r="AB13" s="56"/>
      <c r="AC13" s="75"/>
      <c r="AD13" s="71"/>
      <c r="AE13" s="53"/>
      <c r="AF13" s="56"/>
      <c r="AG13" s="297"/>
      <c r="AH13" s="61"/>
      <c r="AI13" s="70"/>
      <c r="AJ13" s="56"/>
      <c r="AK13" s="53"/>
      <c r="AL13" s="282" t="s">
        <v>162</v>
      </c>
      <c r="AM13" s="287" t="s">
        <v>370</v>
      </c>
      <c r="AN13" s="276"/>
    </row>
    <row r="14" spans="3:40">
      <c r="C14" s="377"/>
      <c r="D14" s="377"/>
      <c r="E14" s="77"/>
      <c r="F14" s="77"/>
      <c r="G14" s="312"/>
      <c r="H14" s="56"/>
      <c r="I14" s="62"/>
      <c r="J14" s="317"/>
      <c r="K14" s="53"/>
      <c r="L14" s="71"/>
      <c r="M14" s="75"/>
      <c r="N14" s="71"/>
      <c r="O14" s="56"/>
      <c r="P14" s="56"/>
      <c r="Q14" s="75"/>
      <c r="R14" s="56"/>
      <c r="S14" s="69"/>
      <c r="T14" s="71"/>
      <c r="U14" s="56"/>
      <c r="V14" s="56"/>
      <c r="W14" s="259"/>
      <c r="X14" s="75">
        <v>6.5</v>
      </c>
      <c r="Y14" s="171"/>
      <c r="Z14" s="71"/>
      <c r="AA14" s="53"/>
      <c r="AB14" s="56"/>
      <c r="AC14" s="75"/>
      <c r="AD14" s="71"/>
      <c r="AE14" s="53"/>
      <c r="AF14" s="56"/>
      <c r="AG14" s="297"/>
      <c r="AH14" s="61"/>
      <c r="AI14" s="70"/>
      <c r="AJ14" s="56"/>
      <c r="AK14" s="53"/>
      <c r="AL14" s="282" t="s">
        <v>163</v>
      </c>
      <c r="AM14" s="286" t="s">
        <v>371</v>
      </c>
      <c r="AN14" s="276"/>
    </row>
    <row r="15" spans="3:40">
      <c r="C15" s="256"/>
      <c r="D15" s="258"/>
      <c r="E15" s="56"/>
      <c r="F15" s="56"/>
      <c r="G15" s="171"/>
      <c r="H15" s="458"/>
      <c r="I15" s="80"/>
      <c r="J15" s="318"/>
      <c r="K15" s="53"/>
      <c r="L15" s="71"/>
      <c r="M15" s="75"/>
      <c r="N15" s="71"/>
      <c r="O15" s="56"/>
      <c r="P15" s="56"/>
      <c r="Q15" s="75"/>
      <c r="R15" s="56"/>
      <c r="S15" s="75"/>
      <c r="T15" s="71"/>
      <c r="U15" s="56"/>
      <c r="V15" s="56"/>
      <c r="W15" s="259"/>
      <c r="X15" s="75">
        <v>19.5</v>
      </c>
      <c r="Y15" s="171"/>
      <c r="Z15" s="71"/>
      <c r="AA15" s="53"/>
      <c r="AB15" s="56"/>
      <c r="AC15" s="75"/>
      <c r="AD15" s="71"/>
      <c r="AE15" s="53"/>
      <c r="AF15" s="56"/>
      <c r="AG15" s="297"/>
      <c r="AH15" s="61"/>
      <c r="AI15" s="70"/>
      <c r="AJ15" s="56"/>
      <c r="AK15" s="53"/>
      <c r="AL15" s="282" t="s">
        <v>224</v>
      </c>
      <c r="AM15" s="287" t="s">
        <v>225</v>
      </c>
      <c r="AN15" s="276"/>
    </row>
    <row r="16" spans="3:40" ht="17.100000000000001" thickBot="1">
      <c r="C16" s="371" t="s">
        <v>227</v>
      </c>
      <c r="D16" s="372">
        <f>SUM(D10:D15)</f>
        <v>3000</v>
      </c>
      <c r="E16" s="458"/>
      <c r="F16" s="458"/>
      <c r="G16" s="311"/>
      <c r="H16" s="77"/>
      <c r="I16" s="76"/>
      <c r="J16" s="280"/>
      <c r="K16" s="53"/>
      <c r="L16" s="71"/>
      <c r="M16" s="75"/>
      <c r="N16" s="71"/>
      <c r="O16" s="56"/>
      <c r="P16" s="56"/>
      <c r="Q16" s="75"/>
      <c r="R16" s="56"/>
      <c r="S16" s="75"/>
      <c r="T16" s="71"/>
      <c r="U16" s="56"/>
      <c r="V16" s="56"/>
      <c r="W16" s="259"/>
      <c r="X16" s="75">
        <v>20.46</v>
      </c>
      <c r="Y16" s="171"/>
      <c r="Z16" s="71"/>
      <c r="AA16" s="53"/>
      <c r="AB16" s="56"/>
      <c r="AC16" s="75"/>
      <c r="AD16" s="71"/>
      <c r="AE16" s="53"/>
      <c r="AF16" s="76"/>
      <c r="AG16" s="298"/>
      <c r="AH16" s="255"/>
      <c r="AI16" s="81"/>
      <c r="AJ16" s="76"/>
      <c r="AK16" s="53"/>
      <c r="AL16" s="283" t="s">
        <v>341</v>
      </c>
      <c r="AM16" s="277" t="s">
        <v>372</v>
      </c>
      <c r="AN16" s="278"/>
    </row>
    <row r="17" spans="3:40">
      <c r="C17" s="53"/>
      <c r="D17" s="53"/>
      <c r="E17" s="77"/>
      <c r="F17" s="77"/>
      <c r="G17" s="312"/>
      <c r="H17" s="77"/>
      <c r="I17" s="76"/>
      <c r="J17" s="280"/>
      <c r="K17" s="53"/>
      <c r="L17" s="71"/>
      <c r="M17" s="75"/>
      <c r="N17" s="71"/>
      <c r="O17" s="56"/>
      <c r="P17" s="56"/>
      <c r="Q17" s="75"/>
      <c r="R17" s="56"/>
      <c r="S17" s="75"/>
      <c r="T17" s="71"/>
      <c r="U17" s="56"/>
      <c r="V17" s="56"/>
      <c r="W17" s="259"/>
      <c r="X17" s="75">
        <v>4.37</v>
      </c>
      <c r="Y17" s="171"/>
      <c r="Z17" s="71"/>
      <c r="AA17" s="53"/>
      <c r="AB17" s="56"/>
      <c r="AC17" s="75"/>
      <c r="AD17" s="71"/>
      <c r="AE17" s="53"/>
      <c r="AF17" s="56"/>
      <c r="AG17" s="297"/>
      <c r="AH17" s="61"/>
      <c r="AI17" s="70"/>
      <c r="AJ17" s="56"/>
      <c r="AK17" s="53"/>
      <c r="AL17" s="53"/>
    </row>
    <row r="18" spans="3:40">
      <c r="C18" s="53"/>
      <c r="D18" s="53"/>
      <c r="E18" s="77"/>
      <c r="F18" s="77"/>
      <c r="G18" s="312"/>
      <c r="H18" s="77"/>
      <c r="I18" s="76"/>
      <c r="J18" s="280"/>
      <c r="K18" s="53"/>
      <c r="L18" s="71"/>
      <c r="M18" s="75"/>
      <c r="N18" s="71"/>
      <c r="O18" s="56"/>
      <c r="P18" s="56"/>
      <c r="Q18" s="75"/>
      <c r="R18" s="56"/>
      <c r="S18" s="75"/>
      <c r="T18" s="71"/>
      <c r="U18" s="56"/>
      <c r="V18" s="56"/>
      <c r="W18" s="259"/>
      <c r="X18" s="75">
        <v>3.5</v>
      </c>
      <c r="Y18" s="171"/>
      <c r="Z18" s="71"/>
      <c r="AA18" s="53"/>
      <c r="AB18" s="56"/>
      <c r="AC18" s="75"/>
      <c r="AD18" s="71"/>
      <c r="AE18" s="53"/>
      <c r="AF18" s="56"/>
      <c r="AG18" s="297"/>
      <c r="AH18" s="61"/>
      <c r="AI18" s="70"/>
      <c r="AJ18" s="56"/>
      <c r="AK18" s="53"/>
      <c r="AL18" s="53"/>
    </row>
    <row r="19" spans="3:40">
      <c r="C19" s="53"/>
      <c r="D19" s="53"/>
      <c r="E19" s="77"/>
      <c r="F19" s="77"/>
      <c r="G19" s="312"/>
      <c r="H19" s="77"/>
      <c r="I19" s="76"/>
      <c r="J19" s="280"/>
      <c r="K19" s="53"/>
      <c r="L19" s="71"/>
      <c r="M19" s="75"/>
      <c r="N19" s="71"/>
      <c r="O19" s="56"/>
      <c r="P19" s="56"/>
      <c r="Q19" s="75"/>
      <c r="R19" s="56"/>
      <c r="S19" s="75"/>
      <c r="T19" s="71"/>
      <c r="U19" s="56"/>
      <c r="V19" s="56"/>
      <c r="W19" s="259"/>
      <c r="X19" s="75">
        <v>9.6</v>
      </c>
      <c r="Y19" s="171"/>
      <c r="Z19" s="71"/>
      <c r="AA19" s="53"/>
      <c r="AB19" s="56"/>
      <c r="AC19" s="75"/>
      <c r="AD19" s="71"/>
      <c r="AE19" s="53"/>
      <c r="AF19" s="56"/>
      <c r="AG19" s="297"/>
      <c r="AH19" s="61"/>
      <c r="AI19" s="70"/>
      <c r="AJ19" s="56"/>
      <c r="AK19" s="53"/>
      <c r="AL19" s="53"/>
    </row>
    <row r="20" spans="3:40">
      <c r="C20" s="53"/>
      <c r="D20" s="53"/>
      <c r="E20" s="77"/>
      <c r="F20" s="77"/>
      <c r="G20" s="312"/>
      <c r="H20" s="53"/>
      <c r="I20" s="74"/>
      <c r="J20" s="319"/>
      <c r="K20" s="53"/>
      <c r="L20" s="71"/>
      <c r="M20" s="75"/>
      <c r="N20" s="71"/>
      <c r="O20" s="56"/>
      <c r="P20" s="56"/>
      <c r="Q20" s="75"/>
      <c r="R20" s="56"/>
      <c r="S20" s="75"/>
      <c r="T20" s="71"/>
      <c r="U20" s="56"/>
      <c r="V20" s="56"/>
      <c r="W20" s="259"/>
      <c r="X20" s="75">
        <v>4.38</v>
      </c>
      <c r="Y20" s="171"/>
      <c r="Z20" s="71"/>
      <c r="AA20" s="53"/>
      <c r="AB20" s="56"/>
      <c r="AC20" s="75"/>
      <c r="AD20" s="71"/>
      <c r="AE20" s="53"/>
      <c r="AF20" s="56"/>
      <c r="AG20" s="297"/>
      <c r="AH20" s="61"/>
      <c r="AI20" s="70"/>
      <c r="AJ20" s="56"/>
      <c r="AK20" s="53"/>
      <c r="AL20" s="53"/>
      <c r="AN20" s="112"/>
    </row>
    <row r="21" spans="3:40">
      <c r="C21" s="53"/>
      <c r="D21" s="53"/>
      <c r="E21" s="77"/>
      <c r="F21" s="77"/>
      <c r="G21" s="312"/>
      <c r="H21" s="53"/>
      <c r="I21" s="74"/>
      <c r="J21" s="319"/>
      <c r="K21" s="53"/>
      <c r="L21" s="71"/>
      <c r="M21" s="75"/>
      <c r="N21" s="71"/>
      <c r="O21" s="56"/>
      <c r="P21" s="56"/>
      <c r="Q21" s="75"/>
      <c r="R21" s="56"/>
      <c r="S21" s="75"/>
      <c r="T21" s="71"/>
      <c r="U21" s="56"/>
      <c r="V21" s="56"/>
      <c r="W21" s="259"/>
      <c r="X21" s="75">
        <v>16.559999999999999</v>
      </c>
      <c r="Y21" s="171"/>
      <c r="Z21" s="71"/>
      <c r="AA21" s="53"/>
      <c r="AB21" s="56"/>
      <c r="AC21" s="75"/>
      <c r="AD21" s="71"/>
      <c r="AE21" s="53"/>
      <c r="AF21" s="56"/>
      <c r="AG21" s="297"/>
      <c r="AH21" s="61"/>
      <c r="AI21" s="70"/>
      <c r="AJ21" s="56"/>
      <c r="AK21" s="53"/>
      <c r="AL21" s="53"/>
      <c r="AN21" s="112"/>
    </row>
    <row r="22" spans="3:40">
      <c r="C22" s="53"/>
      <c r="D22" s="53"/>
      <c r="E22" s="77"/>
      <c r="F22" s="77"/>
      <c r="G22" s="312"/>
      <c r="H22" s="53"/>
      <c r="I22" s="74"/>
      <c r="J22" s="319"/>
      <c r="K22" s="53"/>
      <c r="L22" s="71"/>
      <c r="M22" s="75"/>
      <c r="N22" s="71"/>
      <c r="O22" s="56"/>
      <c r="P22" s="56"/>
      <c r="Q22" s="75"/>
      <c r="R22" s="56"/>
      <c r="S22" s="75"/>
      <c r="T22" s="71"/>
      <c r="U22" s="56"/>
      <c r="V22" s="56"/>
      <c r="W22" s="259"/>
      <c r="X22" s="75">
        <v>5</v>
      </c>
      <c r="Y22" s="171"/>
      <c r="Z22" s="71"/>
      <c r="AA22" s="53"/>
      <c r="AB22" s="56"/>
      <c r="AC22" s="75"/>
      <c r="AD22" s="71"/>
      <c r="AE22" s="53"/>
      <c r="AF22" s="56"/>
      <c r="AG22" s="297"/>
      <c r="AH22" s="61"/>
      <c r="AI22" s="70"/>
      <c r="AJ22" s="56"/>
      <c r="AK22" s="53"/>
      <c r="AL22" s="53"/>
      <c r="AN22" s="112"/>
    </row>
    <row r="23" spans="3:40">
      <c r="C23" s="53"/>
      <c r="D23" s="53"/>
      <c r="E23" s="53"/>
      <c r="F23" s="53"/>
      <c r="G23" s="166"/>
      <c r="H23" s="53"/>
      <c r="I23" s="74"/>
      <c r="J23" s="319"/>
      <c r="K23" s="53"/>
      <c r="L23" s="71"/>
      <c r="M23" s="75"/>
      <c r="N23" s="71"/>
      <c r="O23" s="56"/>
      <c r="P23" s="56"/>
      <c r="Q23" s="75"/>
      <c r="R23" s="56"/>
      <c r="S23" s="75"/>
      <c r="T23" s="71"/>
      <c r="U23" s="56"/>
      <c r="V23" s="56"/>
      <c r="W23" s="259"/>
      <c r="X23" s="75">
        <v>9.6</v>
      </c>
      <c r="Y23" s="171"/>
      <c r="Z23" s="71"/>
      <c r="AA23" s="53"/>
      <c r="AB23" s="56"/>
      <c r="AC23" s="75"/>
      <c r="AD23" s="71"/>
      <c r="AE23" s="53"/>
      <c r="AF23" s="56"/>
      <c r="AG23" s="297"/>
      <c r="AH23" s="61"/>
      <c r="AI23" s="70"/>
      <c r="AJ23" s="56"/>
      <c r="AK23" s="53"/>
      <c r="AL23" s="53"/>
      <c r="AN23" s="112"/>
    </row>
    <row r="24" spans="3:40">
      <c r="C24" s="53"/>
      <c r="D24" s="53"/>
      <c r="E24" s="53"/>
      <c r="F24" s="53"/>
      <c r="G24" s="166"/>
      <c r="H24" s="53" t="s">
        <v>227</v>
      </c>
      <c r="I24" s="62">
        <f>SUM(I5:I23)</f>
        <v>1023.6500000000001</v>
      </c>
      <c r="J24" s="317"/>
      <c r="K24" s="53"/>
      <c r="L24" s="71"/>
      <c r="M24" s="75"/>
      <c r="N24" s="71"/>
      <c r="O24" s="56"/>
      <c r="P24" s="56"/>
      <c r="Q24" s="75"/>
      <c r="R24" s="56"/>
      <c r="S24" s="75"/>
      <c r="T24" s="71"/>
      <c r="U24" s="56"/>
      <c r="V24" s="56"/>
      <c r="W24" s="259"/>
      <c r="X24" s="75">
        <v>5.94</v>
      </c>
      <c r="Y24" s="171"/>
      <c r="Z24" s="71"/>
      <c r="AA24" s="53"/>
      <c r="AB24" s="56"/>
      <c r="AC24" s="75"/>
      <c r="AD24" s="71"/>
      <c r="AE24" s="53"/>
      <c r="AF24" s="56"/>
      <c r="AG24" s="297"/>
      <c r="AH24" s="61"/>
      <c r="AI24" s="70"/>
      <c r="AJ24" s="56"/>
      <c r="AK24" s="53"/>
      <c r="AL24" s="53"/>
      <c r="AN24" s="112"/>
    </row>
    <row r="25" spans="3:40">
      <c r="C25" s="53"/>
      <c r="D25" s="53"/>
      <c r="E25" s="53"/>
      <c r="F25" s="53"/>
      <c r="G25" s="166"/>
      <c r="H25" s="53" t="s">
        <v>16</v>
      </c>
      <c r="I25" s="62">
        <v>0</v>
      </c>
      <c r="J25" s="317"/>
      <c r="K25" s="53"/>
      <c r="L25" s="71"/>
      <c r="M25" s="75"/>
      <c r="N25" s="71"/>
      <c r="O25" s="56"/>
      <c r="P25" s="56"/>
      <c r="Q25" s="75"/>
      <c r="R25" s="56"/>
      <c r="S25" s="75"/>
      <c r="T25" s="71"/>
      <c r="U25" s="56"/>
      <c r="V25" s="56"/>
      <c r="W25" s="259"/>
      <c r="X25" s="75"/>
      <c r="Y25" s="171"/>
      <c r="Z25" s="71"/>
      <c r="AA25" s="53"/>
      <c r="AB25" s="56"/>
      <c r="AC25" s="75"/>
      <c r="AD25" s="71"/>
      <c r="AE25" s="53"/>
      <c r="AF25" s="56"/>
      <c r="AG25" s="297"/>
      <c r="AH25" s="61"/>
      <c r="AI25" s="70"/>
      <c r="AJ25" s="56"/>
      <c r="AK25" s="53"/>
      <c r="AL25" s="53"/>
      <c r="AN25" s="112"/>
    </row>
    <row r="26" spans="3:40">
      <c r="E26" s="53"/>
      <c r="F26" s="53"/>
      <c r="G26" s="166"/>
      <c r="H26" s="53" t="s">
        <v>373</v>
      </c>
      <c r="I26" s="62">
        <v>0</v>
      </c>
      <c r="J26" s="317"/>
      <c r="K26" s="53"/>
      <c r="L26" s="71"/>
      <c r="M26" s="75"/>
      <c r="N26" s="71"/>
      <c r="O26" s="56"/>
      <c r="P26" s="56"/>
      <c r="Q26" s="75"/>
      <c r="R26" s="56"/>
      <c r="S26" s="75"/>
      <c r="T26" s="71"/>
      <c r="U26" s="56"/>
      <c r="V26" s="56"/>
      <c r="W26" s="259"/>
      <c r="X26" s="75"/>
      <c r="Y26" s="171"/>
      <c r="Z26" s="71"/>
      <c r="AA26" s="53"/>
      <c r="AB26" s="56"/>
      <c r="AC26" s="75"/>
      <c r="AD26" s="71"/>
      <c r="AE26" s="53"/>
      <c r="AF26" s="56"/>
      <c r="AG26" s="297"/>
      <c r="AH26" s="61"/>
      <c r="AI26" s="70"/>
      <c r="AJ26" s="56"/>
      <c r="AK26" s="53"/>
      <c r="AL26" s="53"/>
    </row>
    <row r="27" spans="3:40">
      <c r="E27" s="53"/>
      <c r="F27" s="53"/>
      <c r="G27" s="166"/>
      <c r="H27" s="53"/>
      <c r="I27" s="62"/>
      <c r="J27" s="317"/>
      <c r="K27" s="53"/>
      <c r="L27" s="71"/>
      <c r="M27" s="75"/>
      <c r="N27" s="71"/>
      <c r="O27" s="56"/>
      <c r="P27" s="56"/>
      <c r="Q27" s="75"/>
      <c r="R27" s="56"/>
      <c r="S27" s="75"/>
      <c r="T27" s="71"/>
      <c r="U27" s="56"/>
      <c r="V27" s="56"/>
      <c r="W27" s="259"/>
      <c r="X27" s="75"/>
      <c r="Y27" s="171"/>
      <c r="Z27" s="71"/>
      <c r="AA27" s="53"/>
      <c r="AB27" s="56"/>
      <c r="AC27" s="75"/>
      <c r="AD27" s="71"/>
      <c r="AE27" s="53"/>
      <c r="AF27" s="56"/>
      <c r="AG27" s="297"/>
      <c r="AH27" s="61"/>
      <c r="AI27" s="70"/>
      <c r="AJ27" s="56"/>
      <c r="AK27" s="53"/>
      <c r="AL27" s="53"/>
    </row>
    <row r="28" spans="3:40">
      <c r="D28" s="6"/>
      <c r="E28" s="53"/>
      <c r="F28" s="53"/>
      <c r="G28" s="478" t="s">
        <v>229</v>
      </c>
      <c r="H28" s="479"/>
      <c r="I28" s="313">
        <f>I24-I25-I26-I27</f>
        <v>1023.6500000000001</v>
      </c>
      <c r="J28" s="480">
        <f>SUM(L5:L27)</f>
        <v>112.5</v>
      </c>
      <c r="K28" s="480"/>
      <c r="L28" s="481"/>
      <c r="M28" s="482">
        <f>SUM(N5:N27)</f>
        <v>0</v>
      </c>
      <c r="N28" s="481"/>
      <c r="O28" s="480">
        <f>SUM(P5:P27)</f>
        <v>158.5</v>
      </c>
      <c r="P28" s="480"/>
      <c r="Q28" s="482">
        <f>SUM(R5:R27)</f>
        <v>20</v>
      </c>
      <c r="R28" s="481"/>
      <c r="S28" s="482">
        <f>SUM(T5:T27)</f>
        <v>5</v>
      </c>
      <c r="T28" s="481"/>
      <c r="U28" s="471">
        <f>SUM(V5:V27)</f>
        <v>33.590000000000003</v>
      </c>
      <c r="V28" s="471"/>
      <c r="W28" s="315">
        <f>SUM(W5:W27)</f>
        <v>0</v>
      </c>
      <c r="X28" s="275">
        <f>SUM(X5:X27)</f>
        <v>212.26</v>
      </c>
      <c r="Y28" s="472">
        <f>SUM(Z5:Z27)</f>
        <v>109.99999999999999</v>
      </c>
      <c r="Z28" s="473"/>
      <c r="AA28" s="474">
        <f>SUM(AB5:AB27)</f>
        <v>146.15</v>
      </c>
      <c r="AB28" s="474"/>
      <c r="AC28" s="475">
        <f>SUM(AD5:AD27)</f>
        <v>0</v>
      </c>
      <c r="AD28" s="473"/>
      <c r="AE28" s="474">
        <f>SUM(AF5:AF27)</f>
        <v>34.39</v>
      </c>
      <c r="AF28" s="474"/>
      <c r="AG28" s="299">
        <f>SUM(AG5:AG27)</f>
        <v>5.0599999999999996</v>
      </c>
      <c r="AH28" s="476">
        <f>SUM(AI5:AI27)</f>
        <v>16.559999999999999</v>
      </c>
      <c r="AI28" s="477"/>
      <c r="AJ28" s="56"/>
      <c r="AK28" s="53"/>
      <c r="AL28" s="53"/>
    </row>
    <row r="29" spans="3:40" ht="17.100000000000001" thickBot="1">
      <c r="E29" s="53"/>
      <c r="F29" s="53"/>
      <c r="G29" s="462" t="s">
        <v>470</v>
      </c>
      <c r="H29" s="463"/>
      <c r="I29" s="314">
        <f>I28-J30</f>
        <v>169.6400000000001</v>
      </c>
      <c r="J29" s="464">
        <f>SUM(J28:X28)</f>
        <v>541.85</v>
      </c>
      <c r="K29" s="464"/>
      <c r="L29" s="464"/>
      <c r="M29" s="464"/>
      <c r="N29" s="464"/>
      <c r="O29" s="464"/>
      <c r="P29" s="464"/>
      <c r="Q29" s="464"/>
      <c r="R29" s="464"/>
      <c r="S29" s="464"/>
      <c r="T29" s="464"/>
      <c r="U29" s="464"/>
      <c r="V29" s="464"/>
      <c r="W29" s="464"/>
      <c r="X29" s="464"/>
      <c r="Y29" s="465">
        <f>SUM(Y28:AI28)</f>
        <v>312.15999999999997</v>
      </c>
      <c r="Z29" s="466"/>
      <c r="AA29" s="466"/>
      <c r="AB29" s="466"/>
      <c r="AC29" s="466"/>
      <c r="AD29" s="466"/>
      <c r="AE29" s="466"/>
      <c r="AF29" s="466"/>
      <c r="AG29" s="466"/>
      <c r="AH29" s="466"/>
      <c r="AI29" s="467"/>
      <c r="AJ29" s="56"/>
      <c r="AK29" s="53"/>
      <c r="AL29" s="56"/>
    </row>
    <row r="30" spans="3:40" ht="21" thickTop="1" thickBot="1">
      <c r="E30" s="53"/>
      <c r="F30" s="53"/>
      <c r="G30" s="53"/>
      <c r="H30" s="56"/>
      <c r="I30" s="62"/>
      <c r="J30" s="468">
        <f>SUM(J29:AF29)</f>
        <v>854.01</v>
      </c>
      <c r="K30" s="469"/>
      <c r="L30" s="469"/>
      <c r="M30" s="469"/>
      <c r="N30" s="469"/>
      <c r="O30" s="469"/>
      <c r="P30" s="469"/>
      <c r="Q30" s="469"/>
      <c r="R30" s="469"/>
      <c r="S30" s="469"/>
      <c r="T30" s="469"/>
      <c r="U30" s="469"/>
      <c r="V30" s="469"/>
      <c r="W30" s="469"/>
      <c r="X30" s="469"/>
      <c r="Y30" s="469"/>
      <c r="Z30" s="469"/>
      <c r="AA30" s="469"/>
      <c r="AB30" s="469"/>
      <c r="AC30" s="469"/>
      <c r="AD30" s="469"/>
      <c r="AE30" s="469"/>
      <c r="AF30" s="469"/>
      <c r="AG30" s="469"/>
      <c r="AH30" s="469"/>
      <c r="AI30" s="470"/>
      <c r="AJ30" s="56"/>
      <c r="AK30" s="53"/>
    </row>
    <row r="35" spans="7:8">
      <c r="G35" s="6"/>
      <c r="H35" s="6"/>
    </row>
    <row r="36" spans="7:8">
      <c r="G36" s="6"/>
    </row>
    <row r="37" spans="7:8">
      <c r="G37" s="6"/>
    </row>
  </sheetData>
  <mergeCells count="32">
    <mergeCell ref="C9:D9"/>
    <mergeCell ref="C2:D2"/>
    <mergeCell ref="G2:AI2"/>
    <mergeCell ref="AL2:AN2"/>
    <mergeCell ref="G3:I3"/>
    <mergeCell ref="J3:L3"/>
    <mergeCell ref="M3:N3"/>
    <mergeCell ref="O3:P3"/>
    <mergeCell ref="Q3:R3"/>
    <mergeCell ref="S3:T3"/>
    <mergeCell ref="U3:V3"/>
    <mergeCell ref="Y3:Z3"/>
    <mergeCell ref="AA3:AB3"/>
    <mergeCell ref="AC3:AD3"/>
    <mergeCell ref="AE3:AF3"/>
    <mergeCell ref="AH3:AI3"/>
    <mergeCell ref="G29:H29"/>
    <mergeCell ref="J29:X29"/>
    <mergeCell ref="Y29:AI29"/>
    <mergeCell ref="J30:AI30"/>
    <mergeCell ref="U28:V28"/>
    <mergeCell ref="Y28:Z28"/>
    <mergeCell ref="AA28:AB28"/>
    <mergeCell ref="AC28:AD28"/>
    <mergeCell ref="AE28:AF28"/>
    <mergeCell ref="AH28:AI28"/>
    <mergeCell ref="G28:H28"/>
    <mergeCell ref="J28:L28"/>
    <mergeCell ref="M28:N28"/>
    <mergeCell ref="O28:P28"/>
    <mergeCell ref="Q28:R28"/>
    <mergeCell ref="S28:T2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E480-88CC-5149-8DF6-DFEF95A8E625}">
  <sheetPr>
    <tabColor theme="9" tint="0.59999389629810485"/>
  </sheetPr>
  <dimension ref="B3:AO45"/>
  <sheetViews>
    <sheetView topLeftCell="T5" zoomScale="81" workbookViewId="0">
      <selection activeCell="AH13" sqref="AH13"/>
    </sheetView>
  </sheetViews>
  <sheetFormatPr defaultColWidth="11" defaultRowHeight="15.95"/>
  <cols>
    <col min="3" max="3" width="25.875" customWidth="1"/>
    <col min="4" max="4" width="14.125" customWidth="1"/>
    <col min="7" max="7" width="11.875" customWidth="1"/>
    <col min="8" max="8" width="26.875" customWidth="1"/>
    <col min="10" max="10" width="9.625" customWidth="1"/>
    <col min="11" max="11" width="17" customWidth="1"/>
    <col min="24" max="24" width="15.625" customWidth="1"/>
    <col min="27" max="27" width="17.125" customWidth="1"/>
    <col min="29" max="29" width="18.625" customWidth="1"/>
    <col min="38" max="38" width="23" customWidth="1"/>
    <col min="39" max="39" width="69" customWidth="1"/>
  </cols>
  <sheetData>
    <row r="3" spans="2:41" ht="17.100000000000001" thickBot="1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</row>
    <row r="4" spans="2:41" ht="21.95" thickBot="1">
      <c r="B4" s="53"/>
      <c r="C4" s="484" t="s">
        <v>0</v>
      </c>
      <c r="D4" s="744"/>
      <c r="E4" s="456"/>
      <c r="F4" s="456"/>
      <c r="G4" s="745" t="s">
        <v>574</v>
      </c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746"/>
      <c r="X4" s="746"/>
      <c r="Y4" s="746"/>
      <c r="Z4" s="746"/>
      <c r="AA4" s="746"/>
      <c r="AB4" s="746"/>
      <c r="AC4" s="746"/>
      <c r="AD4" s="746"/>
      <c r="AE4" s="746"/>
      <c r="AF4" s="746"/>
      <c r="AG4" s="746"/>
      <c r="AH4" s="746"/>
      <c r="AI4" s="747"/>
      <c r="AJ4" s="459"/>
      <c r="AK4" s="53"/>
      <c r="AL4" s="748" t="s">
        <v>333</v>
      </c>
      <c r="AM4" s="749"/>
      <c r="AN4" s="750"/>
      <c r="AO4" s="53"/>
    </row>
    <row r="5" spans="2:41">
      <c r="B5" s="53"/>
      <c r="C5" s="380" t="s">
        <v>1</v>
      </c>
      <c r="D5" s="381">
        <f>J31</f>
        <v>869.19</v>
      </c>
      <c r="E5" s="458"/>
      <c r="F5" s="458"/>
      <c r="G5" s="751" t="s">
        <v>460</v>
      </c>
      <c r="H5" s="752"/>
      <c r="I5" s="753"/>
      <c r="J5" s="754" t="s">
        <v>334</v>
      </c>
      <c r="K5" s="755"/>
      <c r="L5" s="756"/>
      <c r="M5" s="757" t="s">
        <v>335</v>
      </c>
      <c r="N5" s="756"/>
      <c r="O5" s="757" t="s">
        <v>336</v>
      </c>
      <c r="P5" s="758"/>
      <c r="Q5" s="759" t="s">
        <v>337</v>
      </c>
      <c r="R5" s="756"/>
      <c r="S5" s="757" t="s">
        <v>461</v>
      </c>
      <c r="T5" s="756"/>
      <c r="U5" s="757" t="s">
        <v>339</v>
      </c>
      <c r="V5" s="758"/>
      <c r="W5" s="383" t="s">
        <v>340</v>
      </c>
      <c r="X5" s="382" t="s">
        <v>9</v>
      </c>
      <c r="Y5" s="760" t="s">
        <v>159</v>
      </c>
      <c r="Z5" s="761"/>
      <c r="AA5" s="762" t="s">
        <v>11</v>
      </c>
      <c r="AB5" s="761"/>
      <c r="AC5" s="762" t="s">
        <v>162</v>
      </c>
      <c r="AD5" s="761"/>
      <c r="AE5" s="762" t="s">
        <v>163</v>
      </c>
      <c r="AF5" s="763"/>
      <c r="AG5" s="384" t="s">
        <v>224</v>
      </c>
      <c r="AH5" s="764" t="s">
        <v>341</v>
      </c>
      <c r="AI5" s="765"/>
      <c r="AJ5" s="458"/>
      <c r="AK5" s="53"/>
      <c r="AL5" s="385" t="s">
        <v>334</v>
      </c>
      <c r="AM5" s="386" t="s">
        <v>342</v>
      </c>
      <c r="AN5" s="387"/>
      <c r="AO5" s="53"/>
    </row>
    <row r="6" spans="2:41">
      <c r="B6" s="53"/>
      <c r="C6" s="388" t="s">
        <v>154</v>
      </c>
      <c r="D6" s="389">
        <f>Y31</f>
        <v>951.51</v>
      </c>
      <c r="E6" s="56"/>
      <c r="F6" s="56"/>
      <c r="G6" s="171" t="s">
        <v>462</v>
      </c>
      <c r="H6" s="457" t="s">
        <v>6</v>
      </c>
      <c r="I6" s="58" t="s">
        <v>7</v>
      </c>
      <c r="J6" s="316" t="s">
        <v>462</v>
      </c>
      <c r="K6" s="64" t="s">
        <v>166</v>
      </c>
      <c r="L6" s="67" t="s">
        <v>7</v>
      </c>
      <c r="M6" s="64" t="s">
        <v>166</v>
      </c>
      <c r="N6" s="67" t="s">
        <v>7</v>
      </c>
      <c r="O6" s="64" t="s">
        <v>166</v>
      </c>
      <c r="P6" s="64" t="s">
        <v>7</v>
      </c>
      <c r="Q6" s="87" t="s">
        <v>166</v>
      </c>
      <c r="R6" s="64" t="s">
        <v>7</v>
      </c>
      <c r="S6" s="87" t="s">
        <v>166</v>
      </c>
      <c r="T6" s="64" t="s">
        <v>7</v>
      </c>
      <c r="U6" s="87" t="s">
        <v>166</v>
      </c>
      <c r="V6" s="64" t="s">
        <v>7</v>
      </c>
      <c r="W6" s="390" t="s">
        <v>7</v>
      </c>
      <c r="X6" s="391" t="s">
        <v>7</v>
      </c>
      <c r="Y6" s="446" t="s">
        <v>166</v>
      </c>
      <c r="Z6" s="67" t="s">
        <v>7</v>
      </c>
      <c r="AA6" s="64" t="s">
        <v>166</v>
      </c>
      <c r="AB6" s="64" t="s">
        <v>7</v>
      </c>
      <c r="AC6" s="87" t="s">
        <v>166</v>
      </c>
      <c r="AD6" s="67" t="s">
        <v>7</v>
      </c>
      <c r="AE6" s="64" t="s">
        <v>166</v>
      </c>
      <c r="AF6" s="64" t="s">
        <v>7</v>
      </c>
      <c r="AG6" s="296" t="s">
        <v>7</v>
      </c>
      <c r="AH6" s="64" t="s">
        <v>166</v>
      </c>
      <c r="AI6" s="447" t="s">
        <v>7</v>
      </c>
      <c r="AJ6" s="460"/>
      <c r="AK6" s="53"/>
      <c r="AL6" s="385" t="s">
        <v>335</v>
      </c>
      <c r="AM6" s="386" t="s">
        <v>343</v>
      </c>
      <c r="AN6" s="387"/>
      <c r="AO6" s="53"/>
    </row>
    <row r="7" spans="2:41">
      <c r="B7" s="53"/>
      <c r="C7" s="293" t="s">
        <v>227</v>
      </c>
      <c r="D7" s="290">
        <f>D5+D6</f>
        <v>1820.7</v>
      </c>
      <c r="E7" s="56"/>
      <c r="F7" s="56"/>
      <c r="G7" s="171"/>
      <c r="H7" s="56" t="s">
        <v>175</v>
      </c>
      <c r="I7" s="62">
        <v>169.58</v>
      </c>
      <c r="J7" s="317" t="s">
        <v>575</v>
      </c>
      <c r="K7" s="53" t="s">
        <v>464</v>
      </c>
      <c r="L7" s="71">
        <v>400</v>
      </c>
      <c r="M7" s="56"/>
      <c r="N7" s="71"/>
      <c r="O7" s="53"/>
      <c r="P7" s="71"/>
      <c r="Q7" s="53" t="s">
        <v>183</v>
      </c>
      <c r="R7" s="71">
        <v>20</v>
      </c>
      <c r="S7" s="53" t="s">
        <v>576</v>
      </c>
      <c r="T7" s="71">
        <v>30</v>
      </c>
      <c r="U7" s="56" t="s">
        <v>577</v>
      </c>
      <c r="V7" s="56">
        <v>40</v>
      </c>
      <c r="W7" s="259">
        <v>17.98</v>
      </c>
      <c r="X7" s="75">
        <v>26.5</v>
      </c>
      <c r="Y7" s="171" t="s">
        <v>489</v>
      </c>
      <c r="Z7" s="71">
        <v>9</v>
      </c>
      <c r="AA7" s="53" t="s">
        <v>578</v>
      </c>
      <c r="AB7" s="71">
        <v>8.49</v>
      </c>
      <c r="AC7" s="53" t="s">
        <v>579</v>
      </c>
      <c r="AD7" s="71">
        <v>14.99</v>
      </c>
      <c r="AE7" s="53" t="s">
        <v>580</v>
      </c>
      <c r="AF7" s="70">
        <v>11.99</v>
      </c>
      <c r="AG7" s="56">
        <v>1.46</v>
      </c>
      <c r="AH7" s="61" t="s">
        <v>581</v>
      </c>
      <c r="AI7" s="70">
        <v>456.04</v>
      </c>
      <c r="AJ7" s="56"/>
      <c r="AK7" s="53"/>
      <c r="AL7" s="385" t="s">
        <v>350</v>
      </c>
      <c r="AM7" s="386" t="s">
        <v>351</v>
      </c>
      <c r="AN7" s="387"/>
      <c r="AO7" s="53"/>
    </row>
    <row r="8" spans="2:41">
      <c r="B8" s="53"/>
      <c r="C8" s="294" t="s">
        <v>470</v>
      </c>
      <c r="D8" s="60">
        <f>I31</f>
        <v>79.879999999999882</v>
      </c>
      <c r="E8" s="56"/>
      <c r="F8" s="56"/>
      <c r="G8" s="171"/>
      <c r="H8" s="56" t="s">
        <v>582</v>
      </c>
      <c r="I8" s="62">
        <v>1200</v>
      </c>
      <c r="J8" s="317"/>
      <c r="K8" s="53" t="s">
        <v>472</v>
      </c>
      <c r="L8" s="71">
        <v>50</v>
      </c>
      <c r="M8" s="56"/>
      <c r="N8" s="71"/>
      <c r="O8" s="53"/>
      <c r="P8" s="56"/>
      <c r="Q8" s="75"/>
      <c r="R8" s="56"/>
      <c r="S8" s="75"/>
      <c r="T8" s="71"/>
      <c r="U8" s="56" t="s">
        <v>583</v>
      </c>
      <c r="V8" s="56">
        <v>111.79</v>
      </c>
      <c r="W8" s="417">
        <v>19.37</v>
      </c>
      <c r="X8" s="75">
        <v>80</v>
      </c>
      <c r="Y8" s="171" t="s">
        <v>584</v>
      </c>
      <c r="Z8" s="71">
        <v>17.2</v>
      </c>
      <c r="AA8" s="53" t="s">
        <v>585</v>
      </c>
      <c r="AB8" s="56">
        <v>17.98</v>
      </c>
      <c r="AC8" s="75"/>
      <c r="AD8" s="71"/>
      <c r="AE8" s="53" t="s">
        <v>586</v>
      </c>
      <c r="AF8" s="56">
        <v>4</v>
      </c>
      <c r="AG8" s="297">
        <v>1.62</v>
      </c>
      <c r="AH8" s="61" t="s">
        <v>553</v>
      </c>
      <c r="AI8" s="70"/>
      <c r="AJ8" s="56"/>
      <c r="AK8" s="53"/>
      <c r="AL8" s="385" t="s">
        <v>357</v>
      </c>
      <c r="AM8" s="386" t="s">
        <v>358</v>
      </c>
      <c r="AN8" s="387"/>
      <c r="AO8" s="53"/>
    </row>
    <row r="9" spans="2:41">
      <c r="B9" s="53"/>
      <c r="C9" s="72"/>
      <c r="D9" s="126"/>
      <c r="E9" s="56"/>
      <c r="F9" s="56"/>
      <c r="G9" s="171"/>
      <c r="H9" s="56" t="s">
        <v>524</v>
      </c>
      <c r="I9" s="62">
        <v>307.5</v>
      </c>
      <c r="J9" s="317"/>
      <c r="K9" s="53"/>
      <c r="L9" s="71"/>
      <c r="M9" s="56"/>
      <c r="N9" s="71"/>
      <c r="O9" s="56"/>
      <c r="P9" s="56"/>
      <c r="Q9" s="75"/>
      <c r="R9" s="56"/>
      <c r="S9" s="416" t="s">
        <v>587</v>
      </c>
      <c r="T9" s="151">
        <v>10</v>
      </c>
      <c r="U9" s="56"/>
      <c r="V9" s="56"/>
      <c r="W9" s="417">
        <v>5</v>
      </c>
      <c r="X9" s="75">
        <v>6</v>
      </c>
      <c r="Y9" s="171" t="s">
        <v>588</v>
      </c>
      <c r="Z9" s="71">
        <v>8</v>
      </c>
      <c r="AA9" s="53"/>
      <c r="AB9" s="56"/>
      <c r="AC9" s="75"/>
      <c r="AD9" s="71"/>
      <c r="AE9" s="53" t="s">
        <v>589</v>
      </c>
      <c r="AF9" s="56">
        <v>4</v>
      </c>
      <c r="AG9" s="297">
        <v>1.69</v>
      </c>
      <c r="AH9" s="56" t="s">
        <v>590</v>
      </c>
      <c r="AI9" s="70">
        <v>1.99</v>
      </c>
      <c r="AJ9" s="56"/>
      <c r="AK9" s="53"/>
      <c r="AL9" s="385" t="s">
        <v>363</v>
      </c>
      <c r="AM9" s="386" t="s">
        <v>364</v>
      </c>
      <c r="AN9" s="387"/>
      <c r="AO9" s="53"/>
    </row>
    <row r="10" spans="2:41">
      <c r="B10" s="53"/>
      <c r="C10" s="53"/>
      <c r="D10" s="56"/>
      <c r="E10" s="56"/>
      <c r="F10" s="56"/>
      <c r="G10" s="166"/>
      <c r="H10" s="56" t="s">
        <v>591</v>
      </c>
      <c r="I10" s="62">
        <v>223.5</v>
      </c>
      <c r="J10" s="317"/>
      <c r="K10" s="53"/>
      <c r="L10" s="71"/>
      <c r="M10" s="56"/>
      <c r="N10" s="71"/>
      <c r="O10" s="56"/>
      <c r="P10" s="56"/>
      <c r="Q10" s="75"/>
      <c r="R10" s="56"/>
      <c r="S10" s="416" t="s">
        <v>592</v>
      </c>
      <c r="T10" s="151">
        <v>5</v>
      </c>
      <c r="U10" s="56"/>
      <c r="V10" s="56"/>
      <c r="W10" s="259"/>
      <c r="X10" s="75">
        <v>6.42</v>
      </c>
      <c r="Y10" s="171"/>
      <c r="Z10" s="71">
        <v>24.4</v>
      </c>
      <c r="AA10" s="53"/>
      <c r="AB10" s="56"/>
      <c r="AC10" s="75"/>
      <c r="AD10" s="71"/>
      <c r="AE10" s="53" t="s">
        <v>593</v>
      </c>
      <c r="AF10" s="56">
        <v>29.98</v>
      </c>
      <c r="AG10" s="297">
        <v>6</v>
      </c>
      <c r="AH10" s="56"/>
      <c r="AI10" s="70"/>
      <c r="AJ10" s="56"/>
      <c r="AK10" s="53"/>
      <c r="AL10" s="385" t="s">
        <v>201</v>
      </c>
      <c r="AM10" s="386" t="s">
        <v>202</v>
      </c>
      <c r="AN10" s="387"/>
      <c r="AO10" s="53"/>
    </row>
    <row r="11" spans="2:41">
      <c r="B11" s="53"/>
      <c r="C11" s="742" t="s">
        <v>392</v>
      </c>
      <c r="D11" s="743"/>
      <c r="E11" s="56"/>
      <c r="F11" s="56"/>
      <c r="G11" s="171"/>
      <c r="H11" s="56"/>
      <c r="I11" s="62"/>
      <c r="J11" s="317"/>
      <c r="K11" s="53"/>
      <c r="L11" s="71"/>
      <c r="M11" s="56"/>
      <c r="N11" s="71"/>
      <c r="O11" s="56"/>
      <c r="P11" s="56"/>
      <c r="Q11" s="75"/>
      <c r="R11" s="56"/>
      <c r="S11" s="416" t="s">
        <v>594</v>
      </c>
      <c r="T11" s="151">
        <v>7.49</v>
      </c>
      <c r="U11" s="56"/>
      <c r="V11" s="56"/>
      <c r="W11" s="259"/>
      <c r="X11" s="75">
        <v>1.99</v>
      </c>
      <c r="Y11" s="171" t="s">
        <v>595</v>
      </c>
      <c r="Z11" s="71">
        <v>10.65</v>
      </c>
      <c r="AA11" s="53"/>
      <c r="AB11" s="56"/>
      <c r="AC11" s="75"/>
      <c r="AD11" s="71"/>
      <c r="AE11" s="53" t="s">
        <v>596</v>
      </c>
      <c r="AF11" s="56">
        <v>1.42</v>
      </c>
      <c r="AG11" s="297"/>
      <c r="AH11" s="56"/>
      <c r="AI11" s="70"/>
      <c r="AJ11" s="56"/>
      <c r="AK11" s="53"/>
      <c r="AL11" s="385" t="s">
        <v>340</v>
      </c>
      <c r="AM11" s="386" t="s">
        <v>367</v>
      </c>
      <c r="AN11" s="387"/>
      <c r="AO11" s="53"/>
    </row>
    <row r="12" spans="2:41">
      <c r="B12" s="53"/>
      <c r="C12" s="392" t="s">
        <v>394</v>
      </c>
      <c r="D12" s="393">
        <v>3000</v>
      </c>
      <c r="E12" s="458"/>
      <c r="F12" s="458"/>
      <c r="G12" s="311"/>
      <c r="H12" s="56"/>
      <c r="I12" s="62"/>
      <c r="J12" s="317"/>
      <c r="K12" s="53"/>
      <c r="L12" s="71"/>
      <c r="M12" s="56"/>
      <c r="N12" s="71"/>
      <c r="O12" s="56"/>
      <c r="P12" s="56"/>
      <c r="Q12" s="75"/>
      <c r="R12" s="56"/>
      <c r="S12" s="416" t="s">
        <v>597</v>
      </c>
      <c r="T12" s="151">
        <v>14</v>
      </c>
      <c r="U12" s="56"/>
      <c r="V12" s="56"/>
      <c r="W12" s="259"/>
      <c r="X12" s="75">
        <v>1.25</v>
      </c>
      <c r="Y12" s="373"/>
      <c r="Z12" s="415"/>
      <c r="AA12" s="53"/>
      <c r="AB12" s="56"/>
      <c r="AC12" s="75"/>
      <c r="AD12" s="71"/>
      <c r="AE12" s="53" t="s">
        <v>598</v>
      </c>
      <c r="AF12" s="56">
        <v>3.73</v>
      </c>
      <c r="AG12" s="297"/>
      <c r="AH12" s="56"/>
      <c r="AI12" s="70"/>
      <c r="AJ12" s="56"/>
      <c r="AK12" s="53"/>
      <c r="AL12" s="385" t="s">
        <v>9</v>
      </c>
      <c r="AM12" s="386" t="s">
        <v>210</v>
      </c>
      <c r="AN12" s="387"/>
      <c r="AO12" s="53"/>
    </row>
    <row r="13" spans="2:41">
      <c r="B13" s="53"/>
      <c r="C13" s="392" t="s">
        <v>396</v>
      </c>
      <c r="D13" s="394">
        <f>I27</f>
        <v>0</v>
      </c>
      <c r="E13" s="77"/>
      <c r="F13" s="77"/>
      <c r="G13" s="312"/>
      <c r="H13" s="56"/>
      <c r="I13" s="76"/>
      <c r="J13" s="280"/>
      <c r="K13" s="53"/>
      <c r="L13" s="71"/>
      <c r="M13" s="56"/>
      <c r="N13" s="71"/>
      <c r="O13" s="56"/>
      <c r="P13" s="56"/>
      <c r="Q13" s="75"/>
      <c r="R13" s="56"/>
      <c r="S13" s="75"/>
      <c r="T13" s="71"/>
      <c r="U13" s="56"/>
      <c r="V13" s="56"/>
      <c r="W13" s="259"/>
      <c r="X13" s="75">
        <v>3.4</v>
      </c>
      <c r="Y13" s="413" t="s">
        <v>599</v>
      </c>
      <c r="Z13" s="151">
        <v>10</v>
      </c>
      <c r="AA13" s="53"/>
      <c r="AB13" s="56"/>
      <c r="AC13" s="75"/>
      <c r="AD13" s="71"/>
      <c r="AE13" s="53"/>
      <c r="AF13" s="56"/>
      <c r="AG13" s="297"/>
      <c r="AH13" s="56"/>
      <c r="AI13" s="70"/>
      <c r="AJ13" s="56"/>
      <c r="AK13" s="53"/>
      <c r="AL13" s="395" t="s">
        <v>159</v>
      </c>
      <c r="AM13" s="396" t="s">
        <v>368</v>
      </c>
      <c r="AN13" s="397"/>
      <c r="AO13" s="53"/>
    </row>
    <row r="14" spans="2:41">
      <c r="B14" s="53"/>
      <c r="C14" s="251" t="s">
        <v>524</v>
      </c>
      <c r="D14" s="422">
        <v>-531</v>
      </c>
      <c r="E14" s="379"/>
      <c r="F14" s="77"/>
      <c r="G14" s="312"/>
      <c r="H14" s="77"/>
      <c r="I14" s="76"/>
      <c r="J14" s="280"/>
      <c r="K14" s="53"/>
      <c r="L14" s="71"/>
      <c r="M14" s="56"/>
      <c r="N14" s="71"/>
      <c r="O14" s="56"/>
      <c r="P14" s="56"/>
      <c r="Q14" s="75"/>
      <c r="R14" s="56"/>
      <c r="S14" s="75"/>
      <c r="T14" s="71"/>
      <c r="U14" s="56"/>
      <c r="V14" s="56"/>
      <c r="W14" s="259"/>
      <c r="X14" s="75">
        <v>13</v>
      </c>
      <c r="Y14" s="413" t="s">
        <v>600</v>
      </c>
      <c r="Z14" s="151">
        <v>20</v>
      </c>
      <c r="AA14" s="53"/>
      <c r="AB14" s="56"/>
      <c r="AC14" s="75"/>
      <c r="AD14" s="71"/>
      <c r="AE14" s="154" t="s">
        <v>601</v>
      </c>
      <c r="AF14" s="153">
        <v>9.99</v>
      </c>
      <c r="AG14" s="297"/>
      <c r="AH14" s="56"/>
      <c r="AI14" s="70"/>
      <c r="AJ14" s="56"/>
      <c r="AK14" s="53"/>
      <c r="AL14" s="395" t="s">
        <v>161</v>
      </c>
      <c r="AM14" s="396" t="s">
        <v>369</v>
      </c>
      <c r="AN14" s="397"/>
      <c r="AO14" s="53"/>
    </row>
    <row r="15" spans="2:41">
      <c r="B15" s="53"/>
      <c r="C15" s="399" t="s">
        <v>602</v>
      </c>
      <c r="D15" s="258">
        <v>-1250</v>
      </c>
      <c r="E15" s="77"/>
      <c r="F15" s="77"/>
      <c r="G15" s="312"/>
      <c r="H15" s="77"/>
      <c r="I15" s="76"/>
      <c r="J15" s="280"/>
      <c r="K15" s="53"/>
      <c r="L15" s="71"/>
      <c r="M15" s="56"/>
      <c r="N15" s="71"/>
      <c r="O15" s="56"/>
      <c r="P15" s="56"/>
      <c r="Q15" s="75"/>
      <c r="R15" s="56"/>
      <c r="S15" s="75"/>
      <c r="T15" s="71"/>
      <c r="U15" s="56"/>
      <c r="V15" s="56"/>
      <c r="W15" s="259"/>
      <c r="X15" s="75"/>
      <c r="Y15" s="413" t="s">
        <v>603</v>
      </c>
      <c r="Z15" s="151">
        <v>20</v>
      </c>
      <c r="AA15" s="53"/>
      <c r="AB15" s="56"/>
      <c r="AC15" s="75"/>
      <c r="AD15" s="71"/>
      <c r="AE15" s="154" t="s">
        <v>604</v>
      </c>
      <c r="AF15" s="153">
        <v>5.8</v>
      </c>
      <c r="AG15" s="297"/>
      <c r="AH15" s="56"/>
      <c r="AI15" s="70"/>
      <c r="AJ15" s="56"/>
      <c r="AK15" s="53"/>
      <c r="AL15" s="395" t="s">
        <v>162</v>
      </c>
      <c r="AM15" s="396" t="s">
        <v>370</v>
      </c>
      <c r="AN15" s="397"/>
      <c r="AO15" s="53"/>
    </row>
    <row r="16" spans="2:41">
      <c r="B16" s="53"/>
      <c r="C16" s="377"/>
      <c r="D16" s="398"/>
      <c r="E16" s="77"/>
      <c r="F16" s="77"/>
      <c r="G16" s="312"/>
      <c r="H16" s="56"/>
      <c r="I16" s="62"/>
      <c r="J16" s="317"/>
      <c r="K16" s="53"/>
      <c r="L16" s="71"/>
      <c r="M16" s="56"/>
      <c r="N16" s="71"/>
      <c r="O16" s="56"/>
      <c r="P16" s="56"/>
      <c r="Q16" s="75"/>
      <c r="R16" s="56"/>
      <c r="S16" s="69"/>
      <c r="T16" s="71"/>
      <c r="U16" s="56"/>
      <c r="V16" s="56"/>
      <c r="W16" s="259"/>
      <c r="X16" s="75"/>
      <c r="Y16" s="418" t="s">
        <v>605</v>
      </c>
      <c r="Z16" s="419">
        <v>50</v>
      </c>
      <c r="AA16" s="53"/>
      <c r="AB16" s="56"/>
      <c r="AC16" s="75"/>
      <c r="AD16" s="71"/>
      <c r="AE16" s="154" t="s">
        <v>606</v>
      </c>
      <c r="AF16" s="153">
        <v>9</v>
      </c>
      <c r="AG16" s="297"/>
      <c r="AH16" s="56"/>
      <c r="AI16" s="70"/>
      <c r="AJ16" s="56"/>
      <c r="AK16" s="53"/>
      <c r="AL16" s="395" t="s">
        <v>163</v>
      </c>
      <c r="AM16" s="396" t="s">
        <v>371</v>
      </c>
      <c r="AN16" s="397"/>
      <c r="AO16" s="53"/>
    </row>
    <row r="17" spans="2:41">
      <c r="B17" s="53"/>
      <c r="C17" s="399"/>
      <c r="D17" s="400"/>
      <c r="E17" s="56"/>
      <c r="F17" s="56"/>
      <c r="G17" s="171"/>
      <c r="H17" s="458"/>
      <c r="I17" s="80"/>
      <c r="J17" s="318"/>
      <c r="K17" s="53"/>
      <c r="L17" s="71"/>
      <c r="M17" s="56"/>
      <c r="N17" s="71"/>
      <c r="O17" s="56"/>
      <c r="P17" s="56"/>
      <c r="Q17" s="75"/>
      <c r="R17" s="56"/>
      <c r="S17" s="75"/>
      <c r="T17" s="71"/>
      <c r="U17" s="56"/>
      <c r="V17" s="56"/>
      <c r="W17" s="259"/>
      <c r="X17" s="75"/>
      <c r="Y17" s="413" t="s">
        <v>218</v>
      </c>
      <c r="Z17" s="151">
        <v>7.99</v>
      </c>
      <c r="AA17" s="53"/>
      <c r="AB17" s="56"/>
      <c r="AC17" s="75"/>
      <c r="AD17" s="71"/>
      <c r="AE17" s="154" t="s">
        <v>607</v>
      </c>
      <c r="AF17" s="153">
        <v>32.85</v>
      </c>
      <c r="AG17" s="297"/>
      <c r="AH17" s="56"/>
      <c r="AI17" s="70"/>
      <c r="AJ17" s="56"/>
      <c r="AK17" s="53"/>
      <c r="AL17" s="395" t="s">
        <v>224</v>
      </c>
      <c r="AM17" s="396" t="s">
        <v>225</v>
      </c>
      <c r="AN17" s="397"/>
      <c r="AO17" s="53"/>
    </row>
    <row r="18" spans="2:41" ht="17.100000000000001" thickBot="1">
      <c r="B18" s="53"/>
      <c r="C18" s="401" t="s">
        <v>227</v>
      </c>
      <c r="D18" s="402">
        <f>SUM(D12:D17)</f>
        <v>1219</v>
      </c>
      <c r="E18" s="458"/>
      <c r="F18" s="458"/>
      <c r="G18" s="311"/>
      <c r="H18" s="77"/>
      <c r="I18" s="76"/>
      <c r="J18" s="280"/>
      <c r="K18" s="53"/>
      <c r="L18" s="71"/>
      <c r="M18" s="56"/>
      <c r="N18" s="71"/>
      <c r="O18" s="56"/>
      <c r="P18" s="56"/>
      <c r="Q18" s="75"/>
      <c r="R18" s="56"/>
      <c r="S18" s="75"/>
      <c r="T18" s="71"/>
      <c r="U18" s="56"/>
      <c r="V18" s="56"/>
      <c r="W18" s="259"/>
      <c r="X18" s="75"/>
      <c r="Y18" s="413" t="s">
        <v>608</v>
      </c>
      <c r="Z18" s="151">
        <v>40</v>
      </c>
      <c r="AA18" s="53"/>
      <c r="AB18" s="56"/>
      <c r="AC18" s="75"/>
      <c r="AD18" s="71"/>
      <c r="AE18" s="154" t="s">
        <v>609</v>
      </c>
      <c r="AF18" s="423">
        <v>5</v>
      </c>
      <c r="AG18" s="298"/>
      <c r="AH18" s="76"/>
      <c r="AI18" s="81"/>
      <c r="AJ18" s="76"/>
      <c r="AK18" s="53"/>
      <c r="AL18" s="403" t="s">
        <v>341</v>
      </c>
      <c r="AM18" s="404" t="s">
        <v>372</v>
      </c>
      <c r="AN18" s="405"/>
      <c r="AO18" s="53"/>
    </row>
    <row r="19" spans="2:41">
      <c r="B19" s="53"/>
      <c r="C19" s="53"/>
      <c r="D19" s="53"/>
      <c r="E19" s="77"/>
      <c r="F19" s="77"/>
      <c r="G19" s="312"/>
      <c r="H19" s="77"/>
      <c r="I19" s="76"/>
      <c r="J19" s="280"/>
      <c r="K19" s="53"/>
      <c r="L19" s="71"/>
      <c r="M19" s="56"/>
      <c r="N19" s="71"/>
      <c r="O19" s="56"/>
      <c r="P19" s="56"/>
      <c r="Q19" s="75"/>
      <c r="R19" s="56"/>
      <c r="S19" s="75"/>
      <c r="T19" s="71"/>
      <c r="U19" s="56"/>
      <c r="V19" s="56"/>
      <c r="W19" s="259"/>
      <c r="X19" s="75"/>
      <c r="Y19" s="413" t="s">
        <v>610</v>
      </c>
      <c r="Z19" s="151">
        <v>25.75</v>
      </c>
      <c r="AA19" s="53"/>
      <c r="AB19" s="56"/>
      <c r="AC19" s="75"/>
      <c r="AD19" s="71"/>
      <c r="AE19" s="154" t="s">
        <v>611</v>
      </c>
      <c r="AF19" s="153">
        <v>9</v>
      </c>
      <c r="AG19" s="297"/>
      <c r="AH19" s="56"/>
      <c r="AI19" s="70"/>
      <c r="AJ19" s="56"/>
      <c r="AK19" s="53"/>
      <c r="AL19" s="53"/>
      <c r="AM19" s="53"/>
      <c r="AN19" s="53"/>
      <c r="AO19" s="53"/>
    </row>
    <row r="20" spans="2:41">
      <c r="B20" s="53"/>
      <c r="C20" s="53"/>
      <c r="D20" s="53"/>
      <c r="E20" s="77"/>
      <c r="F20" s="77"/>
      <c r="G20" s="312"/>
      <c r="H20" s="77"/>
      <c r="I20" s="76"/>
      <c r="J20" s="280"/>
      <c r="K20" s="53"/>
      <c r="L20" s="71"/>
      <c r="M20" s="56"/>
      <c r="N20" s="71"/>
      <c r="O20" s="56"/>
      <c r="P20" s="56"/>
      <c r="Q20" s="75"/>
      <c r="R20" s="56"/>
      <c r="S20" s="75"/>
      <c r="T20" s="71"/>
      <c r="U20" s="56"/>
      <c r="V20" s="56"/>
      <c r="W20" s="259"/>
      <c r="X20" s="75"/>
      <c r="Y20" s="413" t="s">
        <v>584</v>
      </c>
      <c r="Z20" s="151">
        <v>5</v>
      </c>
      <c r="AA20" s="53"/>
      <c r="AB20" s="56"/>
      <c r="AC20" s="75"/>
      <c r="AD20" s="71"/>
      <c r="AE20" s="154" t="s">
        <v>612</v>
      </c>
      <c r="AF20" s="153">
        <v>50</v>
      </c>
      <c r="AG20" s="297"/>
      <c r="AH20" s="56"/>
      <c r="AI20" s="70"/>
      <c r="AJ20" s="56"/>
      <c r="AK20" s="53"/>
      <c r="AL20" s="53"/>
      <c r="AM20" s="53"/>
      <c r="AN20" s="53"/>
      <c r="AO20" s="53"/>
    </row>
    <row r="21" spans="2:41">
      <c r="B21" s="53"/>
      <c r="C21" s="53"/>
      <c r="D21" s="53"/>
      <c r="E21" s="77"/>
      <c r="F21" s="77"/>
      <c r="G21" s="312"/>
      <c r="H21" s="77"/>
      <c r="I21" s="76"/>
      <c r="J21" s="280"/>
      <c r="K21" s="53"/>
      <c r="L21" s="71"/>
      <c r="M21" s="56"/>
      <c r="N21" s="71"/>
      <c r="O21" s="56"/>
      <c r="P21" s="56"/>
      <c r="Q21" s="75"/>
      <c r="R21" s="56"/>
      <c r="S21" s="75"/>
      <c r="T21" s="71"/>
      <c r="U21" s="56"/>
      <c r="V21" s="56"/>
      <c r="W21" s="259"/>
      <c r="X21" s="75"/>
      <c r="Y21" s="413" t="s">
        <v>613</v>
      </c>
      <c r="Z21" s="151">
        <v>5</v>
      </c>
      <c r="AA21" s="53"/>
      <c r="AB21" s="56"/>
      <c r="AC21" s="75"/>
      <c r="AD21" s="71"/>
      <c r="AE21" s="53"/>
      <c r="AF21" s="56"/>
      <c r="AG21" s="297"/>
      <c r="AH21" s="56"/>
      <c r="AI21" s="70"/>
      <c r="AJ21" s="56"/>
      <c r="AK21" s="53"/>
      <c r="AL21" s="53"/>
      <c r="AM21" s="53"/>
      <c r="AN21" s="53"/>
      <c r="AO21" s="53"/>
    </row>
    <row r="22" spans="2:41">
      <c r="B22" s="53"/>
      <c r="C22" s="53"/>
      <c r="D22" s="53"/>
      <c r="E22" s="77"/>
      <c r="F22" s="77"/>
      <c r="G22" s="312"/>
      <c r="H22" s="53"/>
      <c r="I22" s="74"/>
      <c r="J22" s="319"/>
      <c r="K22" s="53"/>
      <c r="L22" s="71"/>
      <c r="M22" s="56"/>
      <c r="N22" s="71"/>
      <c r="O22" s="56"/>
      <c r="P22" s="56"/>
      <c r="Q22" s="75"/>
      <c r="R22" s="56"/>
      <c r="S22" s="75"/>
      <c r="T22" s="71"/>
      <c r="U22" s="56"/>
      <c r="V22" s="56"/>
      <c r="W22" s="259"/>
      <c r="X22" s="75"/>
      <c r="Y22" s="413" t="s">
        <v>614</v>
      </c>
      <c r="Z22" s="151">
        <v>8</v>
      </c>
      <c r="AA22" s="53"/>
      <c r="AB22" s="56"/>
      <c r="AC22" s="75"/>
      <c r="AD22" s="71"/>
      <c r="AE22" s="53"/>
      <c r="AF22" s="56"/>
      <c r="AG22" s="297"/>
      <c r="AH22" s="56"/>
      <c r="AI22" s="70"/>
      <c r="AJ22" s="56"/>
      <c r="AK22" s="53"/>
      <c r="AL22" s="53"/>
      <c r="AM22" s="53"/>
      <c r="AN22" s="406"/>
      <c r="AO22" s="53"/>
    </row>
    <row r="23" spans="2:41">
      <c r="B23" s="53"/>
      <c r="C23" s="53"/>
      <c r="D23" s="53"/>
      <c r="E23" s="77"/>
      <c r="F23" s="77"/>
      <c r="G23" s="312"/>
      <c r="H23" s="53"/>
      <c r="I23" s="74"/>
      <c r="J23" s="319"/>
      <c r="K23" s="53"/>
      <c r="L23" s="71"/>
      <c r="M23" s="56"/>
      <c r="N23" s="71"/>
      <c r="O23" s="56"/>
      <c r="P23" s="56"/>
      <c r="Q23" s="75"/>
      <c r="R23" s="56"/>
      <c r="S23" s="75"/>
      <c r="T23" s="71"/>
      <c r="U23" s="56"/>
      <c r="V23" s="56"/>
      <c r="W23" s="259"/>
      <c r="X23" s="75"/>
      <c r="Y23" s="413" t="s">
        <v>615</v>
      </c>
      <c r="Z23" s="151">
        <v>3.5</v>
      </c>
      <c r="AA23" s="53"/>
      <c r="AB23" s="56"/>
      <c r="AC23" s="75"/>
      <c r="AD23" s="71"/>
      <c r="AE23" s="53"/>
      <c r="AF23" s="56"/>
      <c r="AG23" s="297"/>
      <c r="AH23" s="56"/>
      <c r="AI23" s="70"/>
      <c r="AJ23" s="56"/>
      <c r="AK23" s="53"/>
      <c r="AL23" s="53"/>
      <c r="AM23" s="53"/>
      <c r="AN23" s="406"/>
      <c r="AO23" s="53"/>
    </row>
    <row r="24" spans="2:41">
      <c r="B24" s="53"/>
      <c r="C24" s="53"/>
      <c r="D24" s="53"/>
      <c r="E24" s="77"/>
      <c r="F24" s="77"/>
      <c r="G24" s="312"/>
      <c r="H24" s="53"/>
      <c r="I24" s="74"/>
      <c r="J24" s="319"/>
      <c r="K24" s="53"/>
      <c r="L24" s="71"/>
      <c r="M24" s="56"/>
      <c r="N24" s="71"/>
      <c r="O24" s="56"/>
      <c r="P24" s="56"/>
      <c r="Q24" s="75"/>
      <c r="R24" s="56"/>
      <c r="S24" s="75"/>
      <c r="T24" s="71"/>
      <c r="U24" s="56"/>
      <c r="V24" s="56"/>
      <c r="W24" s="259"/>
      <c r="X24" s="75"/>
      <c r="Y24" s="171"/>
      <c r="Z24" s="71"/>
      <c r="AA24" s="53"/>
      <c r="AB24" s="56"/>
      <c r="AC24" s="75"/>
      <c r="AD24" s="71"/>
      <c r="AE24" s="53"/>
      <c r="AF24" s="56"/>
      <c r="AG24" s="297"/>
      <c r="AH24" s="56"/>
      <c r="AI24" s="70"/>
      <c r="AJ24" s="56"/>
      <c r="AK24" s="53"/>
      <c r="AL24" s="53"/>
      <c r="AM24" s="53"/>
      <c r="AN24" s="406"/>
      <c r="AO24" s="53"/>
    </row>
    <row r="25" spans="2:41">
      <c r="B25" s="53"/>
      <c r="C25" s="53"/>
      <c r="D25" s="53"/>
      <c r="E25" s="53"/>
      <c r="F25" s="53"/>
      <c r="G25" s="166"/>
      <c r="H25" s="53"/>
      <c r="I25" s="74"/>
      <c r="J25" s="319"/>
      <c r="K25" s="53"/>
      <c r="L25" s="71"/>
      <c r="M25" s="56"/>
      <c r="N25" s="71"/>
      <c r="O25" s="56"/>
      <c r="P25" s="56"/>
      <c r="Q25" s="75"/>
      <c r="R25" s="56"/>
      <c r="S25" s="75"/>
      <c r="T25" s="71"/>
      <c r="U25" s="56"/>
      <c r="V25" s="56"/>
      <c r="W25" s="259"/>
      <c r="X25" s="75"/>
      <c r="Y25" s="171"/>
      <c r="Z25" s="71"/>
      <c r="AA25" s="53"/>
      <c r="AB25" s="56"/>
      <c r="AC25" s="75"/>
      <c r="AD25" s="71"/>
      <c r="AE25" s="53"/>
      <c r="AF25" s="56"/>
      <c r="AG25" s="297"/>
      <c r="AH25" s="56"/>
      <c r="AI25" s="70"/>
      <c r="AJ25" s="56"/>
      <c r="AK25" s="53"/>
      <c r="AL25" s="53"/>
      <c r="AM25" s="53"/>
      <c r="AN25" s="406"/>
      <c r="AO25" s="53"/>
    </row>
    <row r="26" spans="2:41">
      <c r="B26" s="53"/>
      <c r="C26" s="53"/>
      <c r="D26" s="53"/>
      <c r="E26" s="53"/>
      <c r="F26" s="53"/>
      <c r="G26" s="166"/>
      <c r="H26" s="53" t="s">
        <v>227</v>
      </c>
      <c r="I26" s="62">
        <f>SUM(I7:I25)</f>
        <v>1900.58</v>
      </c>
      <c r="J26" s="317"/>
      <c r="K26" s="53"/>
      <c r="L26" s="71"/>
      <c r="M26" s="56"/>
      <c r="N26" s="71"/>
      <c r="O26" s="56"/>
      <c r="P26" s="56"/>
      <c r="Q26" s="75"/>
      <c r="R26" s="56"/>
      <c r="S26" s="75"/>
      <c r="T26" s="71"/>
      <c r="U26" s="56"/>
      <c r="V26" s="56"/>
      <c r="W26" s="259"/>
      <c r="X26" s="75"/>
      <c r="Y26" s="171"/>
      <c r="Z26" s="71"/>
      <c r="AA26" s="53"/>
      <c r="AB26" s="56"/>
      <c r="AC26" s="75"/>
      <c r="AD26" s="71"/>
      <c r="AE26" s="53"/>
      <c r="AF26" s="56"/>
      <c r="AG26" s="297"/>
      <c r="AH26" s="56"/>
      <c r="AI26" s="70"/>
      <c r="AJ26" s="56"/>
      <c r="AK26" s="53"/>
      <c r="AL26" s="53"/>
      <c r="AM26" s="53"/>
      <c r="AN26" s="406"/>
      <c r="AO26" s="53"/>
    </row>
    <row r="27" spans="2:41">
      <c r="B27" s="53"/>
      <c r="C27" s="53"/>
      <c r="D27" s="53"/>
      <c r="E27" s="53"/>
      <c r="F27" s="53"/>
      <c r="G27" s="166"/>
      <c r="H27" s="53" t="s">
        <v>16</v>
      </c>
      <c r="I27" s="62">
        <v>0</v>
      </c>
      <c r="J27" s="317"/>
      <c r="K27" s="53"/>
      <c r="L27" s="71"/>
      <c r="M27" s="56"/>
      <c r="N27" s="71"/>
      <c r="O27" s="56"/>
      <c r="P27" s="56"/>
      <c r="Q27" s="75"/>
      <c r="R27" s="56"/>
      <c r="S27" s="75"/>
      <c r="T27" s="71"/>
      <c r="U27" s="56"/>
      <c r="V27" s="56"/>
      <c r="W27" s="259"/>
      <c r="X27" s="75"/>
      <c r="Y27" s="171"/>
      <c r="Z27" s="71"/>
      <c r="AA27" s="53"/>
      <c r="AB27" s="56"/>
      <c r="AC27" s="75"/>
      <c r="AD27" s="71"/>
      <c r="AE27" s="53"/>
      <c r="AF27" s="56"/>
      <c r="AG27" s="297"/>
      <c r="AH27" s="56"/>
      <c r="AI27" s="70"/>
      <c r="AJ27" s="56"/>
      <c r="AK27" s="53"/>
      <c r="AL27" s="53"/>
      <c r="AM27" s="53"/>
      <c r="AN27" s="406"/>
      <c r="AO27" s="53"/>
    </row>
    <row r="28" spans="2:41">
      <c r="B28" s="53"/>
      <c r="C28" s="53"/>
      <c r="D28" s="53"/>
      <c r="E28" s="53"/>
      <c r="F28" s="53"/>
      <c r="G28" s="166"/>
      <c r="H28" s="53" t="s">
        <v>373</v>
      </c>
      <c r="I28" s="62">
        <v>0</v>
      </c>
      <c r="J28" s="317"/>
      <c r="K28" s="53"/>
      <c r="L28" s="71"/>
      <c r="M28" s="56"/>
      <c r="N28" s="71"/>
      <c r="O28" s="56"/>
      <c r="P28" s="56"/>
      <c r="Q28" s="75"/>
      <c r="R28" s="56"/>
      <c r="S28" s="75"/>
      <c r="T28" s="71"/>
      <c r="U28" s="56"/>
      <c r="V28" s="56"/>
      <c r="W28" s="259"/>
      <c r="X28" s="75"/>
      <c r="Y28" s="171"/>
      <c r="Z28" s="71"/>
      <c r="AA28" s="53"/>
      <c r="AB28" s="56"/>
      <c r="AC28" s="75"/>
      <c r="AD28" s="71"/>
      <c r="AE28" s="53"/>
      <c r="AF28" s="56"/>
      <c r="AG28" s="297"/>
      <c r="AH28" s="56"/>
      <c r="AI28" s="70"/>
      <c r="AJ28" s="56"/>
      <c r="AK28" s="53"/>
      <c r="AL28" s="53"/>
      <c r="AM28" s="53"/>
      <c r="AN28" s="53"/>
      <c r="AO28" s="53"/>
    </row>
    <row r="29" spans="2:41">
      <c r="B29" s="53"/>
      <c r="C29" s="53"/>
      <c r="D29" s="53"/>
      <c r="E29" s="53"/>
      <c r="F29" s="53"/>
      <c r="G29" s="166"/>
      <c r="H29" s="53"/>
      <c r="I29" s="62"/>
      <c r="J29" s="317"/>
      <c r="K29" s="53"/>
      <c r="L29" s="71"/>
      <c r="M29" s="56"/>
      <c r="N29" s="71"/>
      <c r="O29" s="56"/>
      <c r="P29" s="56"/>
      <c r="Q29" s="75"/>
      <c r="R29" s="56"/>
      <c r="S29" s="75"/>
      <c r="T29" s="71"/>
      <c r="U29" s="56"/>
      <c r="V29" s="56"/>
      <c r="W29" s="259"/>
      <c r="X29" s="75"/>
      <c r="Y29" s="171"/>
      <c r="Z29" s="71"/>
      <c r="AA29" s="53"/>
      <c r="AB29" s="56"/>
      <c r="AC29" s="75"/>
      <c r="AD29" s="71"/>
      <c r="AE29" s="53"/>
      <c r="AF29" s="56"/>
      <c r="AG29" s="297"/>
      <c r="AH29" s="56"/>
      <c r="AI29" s="70"/>
      <c r="AJ29" s="56"/>
      <c r="AK29" s="53"/>
      <c r="AL29" s="53"/>
      <c r="AM29" s="53"/>
      <c r="AN29" s="53"/>
      <c r="AO29" s="53"/>
    </row>
    <row r="30" spans="2:41">
      <c r="B30" s="53"/>
      <c r="C30" s="53"/>
      <c r="D30" s="56"/>
      <c r="E30" s="53"/>
      <c r="F30" s="53"/>
      <c r="G30" s="736" t="s">
        <v>229</v>
      </c>
      <c r="H30" s="737"/>
      <c r="I30" s="407">
        <f>I26-I27-I28</f>
        <v>1900.58</v>
      </c>
      <c r="J30" s="738">
        <f>SUM(L7:L29)</f>
        <v>450</v>
      </c>
      <c r="K30" s="739"/>
      <c r="L30" s="740"/>
      <c r="M30" s="725">
        <f>SUM(N7:N29)</f>
        <v>0</v>
      </c>
      <c r="N30" s="740"/>
      <c r="O30" s="725">
        <f>SUM(P7:P29)</f>
        <v>0</v>
      </c>
      <c r="P30" s="726"/>
      <c r="Q30" s="741">
        <f>SUM(R7:R29)</f>
        <v>20</v>
      </c>
      <c r="R30" s="740"/>
      <c r="S30" s="725">
        <f>SUM(T7:T29)</f>
        <v>66.490000000000009</v>
      </c>
      <c r="T30" s="740"/>
      <c r="U30" s="725">
        <f>SUM(V7:V29)</f>
        <v>151.79000000000002</v>
      </c>
      <c r="V30" s="726"/>
      <c r="W30" s="408">
        <f>SUM(W7:W29)</f>
        <v>42.35</v>
      </c>
      <c r="X30" s="414">
        <f>SUM(X7:X29)</f>
        <v>138.56</v>
      </c>
      <c r="Y30" s="727">
        <f>SUM(Z7:Z29)</f>
        <v>264.49</v>
      </c>
      <c r="Z30" s="728"/>
      <c r="AA30" s="729">
        <f>SUM(AB7:AB29)</f>
        <v>26.47</v>
      </c>
      <c r="AB30" s="728"/>
      <c r="AC30" s="730">
        <f>SUM(AD7:AD29)</f>
        <v>14.99</v>
      </c>
      <c r="AD30" s="731"/>
      <c r="AE30" s="732">
        <f>SUM(AF7:AF29)</f>
        <v>176.76</v>
      </c>
      <c r="AF30" s="733"/>
      <c r="AG30" s="410">
        <f>SUM(AG7:AG29)</f>
        <v>10.77</v>
      </c>
      <c r="AH30" s="734">
        <f>SUM(AI7:AI29)</f>
        <v>458.03000000000003</v>
      </c>
      <c r="AI30" s="735"/>
      <c r="AJ30" s="56"/>
      <c r="AK30" s="53"/>
      <c r="AL30" s="53"/>
      <c r="AM30" s="53"/>
      <c r="AN30" s="53"/>
      <c r="AO30" s="53"/>
    </row>
    <row r="31" spans="2:41" ht="17.100000000000001" thickBot="1">
      <c r="B31" s="53"/>
      <c r="C31" s="53"/>
      <c r="D31" s="53"/>
      <c r="E31" s="53"/>
      <c r="F31" s="53"/>
      <c r="G31" s="714" t="s">
        <v>470</v>
      </c>
      <c r="H31" s="715"/>
      <c r="I31" s="411">
        <f>I30-J32</f>
        <v>79.879999999999882</v>
      </c>
      <c r="J31" s="716">
        <f>SUM(J30:X30)</f>
        <v>869.19</v>
      </c>
      <c r="K31" s="717"/>
      <c r="L31" s="717"/>
      <c r="M31" s="717"/>
      <c r="N31" s="717"/>
      <c r="O31" s="717"/>
      <c r="P31" s="717"/>
      <c r="Q31" s="717"/>
      <c r="R31" s="717"/>
      <c r="S31" s="717"/>
      <c r="T31" s="717"/>
      <c r="U31" s="717"/>
      <c r="V31" s="717"/>
      <c r="W31" s="717"/>
      <c r="X31" s="718"/>
      <c r="Y31" s="719">
        <f>SUM(Y30:AI30)</f>
        <v>951.51</v>
      </c>
      <c r="Z31" s="720"/>
      <c r="AA31" s="720"/>
      <c r="AB31" s="720"/>
      <c r="AC31" s="720"/>
      <c r="AD31" s="720"/>
      <c r="AE31" s="720"/>
      <c r="AF31" s="720"/>
      <c r="AG31" s="720"/>
      <c r="AH31" s="720"/>
      <c r="AI31" s="721"/>
      <c r="AJ31" s="56"/>
      <c r="AK31" s="53"/>
      <c r="AL31" s="56"/>
      <c r="AM31" s="53"/>
      <c r="AN31" s="53"/>
      <c r="AO31" s="53"/>
    </row>
    <row r="32" spans="2:41" ht="21" thickTop="1" thickBot="1">
      <c r="B32" s="53"/>
      <c r="C32" s="53"/>
      <c r="D32" s="53"/>
      <c r="E32" s="53"/>
      <c r="F32" s="53"/>
      <c r="G32" s="53"/>
      <c r="H32" s="56"/>
      <c r="I32" s="62"/>
      <c r="J32" s="722">
        <f>SUM(J31:AI31)</f>
        <v>1820.7</v>
      </c>
      <c r="K32" s="723"/>
      <c r="L32" s="723"/>
      <c r="M32" s="723"/>
      <c r="N32" s="723"/>
      <c r="O32" s="723"/>
      <c r="P32" s="723"/>
      <c r="Q32" s="723"/>
      <c r="R32" s="723"/>
      <c r="S32" s="723"/>
      <c r="T32" s="723"/>
      <c r="U32" s="723"/>
      <c r="V32" s="723"/>
      <c r="W32" s="723"/>
      <c r="X32" s="723"/>
      <c r="Y32" s="723"/>
      <c r="Z32" s="723"/>
      <c r="AA32" s="723"/>
      <c r="AB32" s="723"/>
      <c r="AC32" s="723"/>
      <c r="AD32" s="723"/>
      <c r="AE32" s="723"/>
      <c r="AF32" s="723"/>
      <c r="AG32" s="723"/>
      <c r="AH32" s="723"/>
      <c r="AI32" s="724"/>
      <c r="AJ32" s="56"/>
      <c r="AK32" s="53"/>
      <c r="AL32" s="53"/>
      <c r="AM32" s="53"/>
      <c r="AN32" s="53"/>
      <c r="AO32" s="53"/>
    </row>
    <row r="33" spans="2:41"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spans="2:41"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spans="2:41"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</row>
    <row r="36" spans="2:41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</row>
    <row r="37" spans="2:41">
      <c r="B37" s="53"/>
      <c r="C37" s="53"/>
      <c r="D37" s="53"/>
      <c r="E37" s="53"/>
      <c r="F37" s="53"/>
      <c r="G37" s="412">
        <v>1480</v>
      </c>
      <c r="H37" s="412" t="s">
        <v>616</v>
      </c>
      <c r="I37" s="412"/>
      <c r="J37" s="412"/>
      <c r="K37" s="412"/>
      <c r="L37" s="412"/>
      <c r="M37" s="412"/>
      <c r="N37" s="412"/>
      <c r="O37" s="56"/>
      <c r="P37" s="53"/>
      <c r="T37" s="53"/>
      <c r="U37" s="53"/>
      <c r="V37" s="53"/>
      <c r="W37" s="53"/>
      <c r="X37" s="53"/>
      <c r="Y37" s="53"/>
      <c r="Z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</row>
    <row r="38" spans="2:41">
      <c r="B38" s="53"/>
      <c r="C38" s="53"/>
      <c r="D38" s="53"/>
      <c r="E38" s="53"/>
      <c r="F38" s="53"/>
      <c r="G38" s="56"/>
      <c r="H38" s="53"/>
      <c r="I38" s="53"/>
      <c r="J38" s="53"/>
      <c r="K38" s="53"/>
      <c r="L38" s="53"/>
      <c r="M38" s="53"/>
      <c r="N38" s="53"/>
      <c r="O38" s="53"/>
      <c r="P38" s="53"/>
      <c r="T38" s="53"/>
      <c r="U38" s="53"/>
      <c r="V38" s="53"/>
      <c r="W38" s="53"/>
      <c r="X38" s="53"/>
      <c r="Y38" s="53"/>
      <c r="Z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</row>
    <row r="39" spans="2:41">
      <c r="B39" s="53"/>
      <c r="C39" s="53"/>
      <c r="D39" s="53"/>
      <c r="E39" s="53"/>
      <c r="F39" s="53"/>
      <c r="G39" s="56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</row>
    <row r="40" spans="2:41">
      <c r="R40" s="53"/>
      <c r="S40" s="53"/>
    </row>
    <row r="41" spans="2:41">
      <c r="R41" s="53"/>
      <c r="S41" s="53"/>
    </row>
    <row r="42" spans="2:41">
      <c r="R42" s="53"/>
      <c r="S42" s="53"/>
    </row>
    <row r="43" spans="2:41">
      <c r="R43" s="53"/>
      <c r="S43" s="53"/>
    </row>
    <row r="45" spans="2:41">
      <c r="R45" s="53"/>
      <c r="S45" s="53"/>
    </row>
  </sheetData>
  <mergeCells count="32">
    <mergeCell ref="C11:D11"/>
    <mergeCell ref="C4:D4"/>
    <mergeCell ref="G4:AI4"/>
    <mergeCell ref="AL4:AN4"/>
    <mergeCell ref="G5:I5"/>
    <mergeCell ref="J5:L5"/>
    <mergeCell ref="M5:N5"/>
    <mergeCell ref="O5:P5"/>
    <mergeCell ref="Q5:R5"/>
    <mergeCell ref="S5:T5"/>
    <mergeCell ref="U5:V5"/>
    <mergeCell ref="Y5:Z5"/>
    <mergeCell ref="AA5:AB5"/>
    <mergeCell ref="AC5:AD5"/>
    <mergeCell ref="AE5:AF5"/>
    <mergeCell ref="AH5:AI5"/>
    <mergeCell ref="G31:H31"/>
    <mergeCell ref="J31:X31"/>
    <mergeCell ref="Y31:AI31"/>
    <mergeCell ref="J32:AI32"/>
    <mergeCell ref="U30:V30"/>
    <mergeCell ref="Y30:Z30"/>
    <mergeCell ref="AA30:AB30"/>
    <mergeCell ref="AC30:AD30"/>
    <mergeCell ref="AE30:AF30"/>
    <mergeCell ref="AH30:AI30"/>
    <mergeCell ref="G30:H30"/>
    <mergeCell ref="J30:L30"/>
    <mergeCell ref="M30:N30"/>
    <mergeCell ref="O30:P30"/>
    <mergeCell ref="Q30:R30"/>
    <mergeCell ref="S30:T3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C2C5-A87C-F542-917A-55321141415C}">
  <sheetPr>
    <tabColor theme="9" tint="0.59999389629810485"/>
  </sheetPr>
  <dimension ref="B3:AN38"/>
  <sheetViews>
    <sheetView topLeftCell="Q5" zoomScale="75" workbookViewId="0">
      <selection activeCell="AA13" sqref="AA13"/>
    </sheetView>
  </sheetViews>
  <sheetFormatPr defaultColWidth="11" defaultRowHeight="15.95"/>
  <cols>
    <col min="3" max="3" width="27.125" customWidth="1"/>
    <col min="4" max="4" width="14.125" customWidth="1"/>
    <col min="7" max="7" width="12.875" customWidth="1"/>
    <col min="8" max="8" width="29.5" customWidth="1"/>
    <col min="10" max="10" width="8.625" customWidth="1"/>
    <col min="11" max="11" width="17" customWidth="1"/>
    <col min="38" max="38" width="21.375" customWidth="1"/>
    <col min="40" max="40" width="57.375" customWidth="1"/>
  </cols>
  <sheetData>
    <row r="3" spans="2:40" ht="17.100000000000001" thickBot="1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2:40" ht="21.95" thickBot="1">
      <c r="B4" s="53"/>
      <c r="C4" s="484" t="s">
        <v>0</v>
      </c>
      <c r="D4" s="744"/>
      <c r="E4" s="456"/>
      <c r="F4" s="456"/>
      <c r="G4" s="745" t="s">
        <v>617</v>
      </c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746"/>
      <c r="X4" s="746"/>
      <c r="Y4" s="746"/>
      <c r="Z4" s="746"/>
      <c r="AA4" s="746"/>
      <c r="AB4" s="746"/>
      <c r="AC4" s="746"/>
      <c r="AD4" s="746"/>
      <c r="AE4" s="746"/>
      <c r="AF4" s="746"/>
      <c r="AG4" s="746"/>
      <c r="AH4" s="746"/>
      <c r="AI4" s="747"/>
      <c r="AJ4" s="459"/>
      <c r="AK4" s="53"/>
      <c r="AL4" s="748" t="s">
        <v>333</v>
      </c>
      <c r="AM4" s="749"/>
      <c r="AN4" s="750"/>
    </row>
    <row r="5" spans="2:40">
      <c r="B5" s="53"/>
      <c r="C5" s="380" t="s">
        <v>1</v>
      </c>
      <c r="D5" s="381">
        <f>J31</f>
        <v>802.11</v>
      </c>
      <c r="E5" s="458"/>
      <c r="F5" s="458"/>
      <c r="G5" s="751" t="s">
        <v>460</v>
      </c>
      <c r="H5" s="752"/>
      <c r="I5" s="753"/>
      <c r="J5" s="754" t="s">
        <v>334</v>
      </c>
      <c r="K5" s="755"/>
      <c r="L5" s="756"/>
      <c r="M5" s="757" t="s">
        <v>335</v>
      </c>
      <c r="N5" s="756"/>
      <c r="O5" s="757" t="s">
        <v>336</v>
      </c>
      <c r="P5" s="758"/>
      <c r="Q5" s="759" t="s">
        <v>337</v>
      </c>
      <c r="R5" s="756"/>
      <c r="S5" s="757" t="s">
        <v>461</v>
      </c>
      <c r="T5" s="756"/>
      <c r="U5" s="757" t="s">
        <v>339</v>
      </c>
      <c r="V5" s="758"/>
      <c r="W5" s="383" t="s">
        <v>340</v>
      </c>
      <c r="X5" s="382" t="s">
        <v>9</v>
      </c>
      <c r="Y5" s="760" t="s">
        <v>159</v>
      </c>
      <c r="Z5" s="761"/>
      <c r="AA5" s="762" t="s">
        <v>11</v>
      </c>
      <c r="AB5" s="761"/>
      <c r="AC5" s="762" t="s">
        <v>162</v>
      </c>
      <c r="AD5" s="761"/>
      <c r="AE5" s="762" t="s">
        <v>163</v>
      </c>
      <c r="AF5" s="763"/>
      <c r="AG5" s="384" t="s">
        <v>224</v>
      </c>
      <c r="AH5" s="764" t="s">
        <v>341</v>
      </c>
      <c r="AI5" s="765"/>
      <c r="AJ5" s="458"/>
      <c r="AK5" s="53"/>
      <c r="AL5" s="385" t="s">
        <v>334</v>
      </c>
      <c r="AM5" s="386" t="s">
        <v>342</v>
      </c>
      <c r="AN5" s="387"/>
    </row>
    <row r="6" spans="2:40">
      <c r="B6" s="53"/>
      <c r="C6" s="388" t="s">
        <v>154</v>
      </c>
      <c r="D6" s="389">
        <f>Y31</f>
        <v>319.5200000000001</v>
      </c>
      <c r="E6" s="56"/>
      <c r="F6" s="56"/>
      <c r="G6" s="171" t="s">
        <v>462</v>
      </c>
      <c r="H6" s="457" t="s">
        <v>6</v>
      </c>
      <c r="I6" s="58" t="s">
        <v>7</v>
      </c>
      <c r="J6" s="316" t="s">
        <v>462</v>
      </c>
      <c r="K6" s="64" t="s">
        <v>166</v>
      </c>
      <c r="L6" s="67" t="s">
        <v>7</v>
      </c>
      <c r="M6" s="64" t="s">
        <v>166</v>
      </c>
      <c r="N6" s="67" t="s">
        <v>7</v>
      </c>
      <c r="O6" s="64" t="s">
        <v>166</v>
      </c>
      <c r="P6" s="64" t="s">
        <v>7</v>
      </c>
      <c r="Q6" s="87" t="s">
        <v>166</v>
      </c>
      <c r="R6" s="64" t="s">
        <v>7</v>
      </c>
      <c r="S6" s="87" t="s">
        <v>166</v>
      </c>
      <c r="T6" s="64" t="s">
        <v>7</v>
      </c>
      <c r="U6" s="87" t="s">
        <v>166</v>
      </c>
      <c r="V6" s="64" t="s">
        <v>7</v>
      </c>
      <c r="W6" s="390" t="s">
        <v>7</v>
      </c>
      <c r="X6" s="391" t="s">
        <v>7</v>
      </c>
      <c r="Y6" s="446" t="s">
        <v>166</v>
      </c>
      <c r="Z6" s="67" t="s">
        <v>7</v>
      </c>
      <c r="AA6" s="64" t="s">
        <v>166</v>
      </c>
      <c r="AB6" s="64" t="s">
        <v>7</v>
      </c>
      <c r="AC6" s="87" t="s">
        <v>166</v>
      </c>
      <c r="AD6" s="67" t="s">
        <v>7</v>
      </c>
      <c r="AE6" s="64" t="s">
        <v>166</v>
      </c>
      <c r="AF6" s="64" t="s">
        <v>7</v>
      </c>
      <c r="AG6" s="296" t="s">
        <v>7</v>
      </c>
      <c r="AH6" s="64" t="s">
        <v>166</v>
      </c>
      <c r="AI6" s="447" t="s">
        <v>7</v>
      </c>
      <c r="AJ6" s="460"/>
      <c r="AK6" s="53"/>
      <c r="AL6" s="385" t="s">
        <v>335</v>
      </c>
      <c r="AM6" s="386" t="s">
        <v>343</v>
      </c>
      <c r="AN6" s="387"/>
    </row>
    <row r="7" spans="2:40">
      <c r="B7" s="53"/>
      <c r="C7" s="293" t="s">
        <v>227</v>
      </c>
      <c r="D7" s="290">
        <f>D5+D6</f>
        <v>1121.6300000000001</v>
      </c>
      <c r="E7" s="56"/>
      <c r="F7" s="56"/>
      <c r="G7" s="171"/>
      <c r="H7" s="56" t="s">
        <v>175</v>
      </c>
      <c r="I7" s="62">
        <v>79.87</v>
      </c>
      <c r="J7" s="317" t="s">
        <v>618</v>
      </c>
      <c r="K7" s="53" t="s">
        <v>464</v>
      </c>
      <c r="L7" s="71">
        <v>400</v>
      </c>
      <c r="M7" s="56"/>
      <c r="N7" s="71"/>
      <c r="O7" s="53"/>
      <c r="P7" s="71"/>
      <c r="Q7" s="53" t="s">
        <v>183</v>
      </c>
      <c r="R7" s="71">
        <v>22.61</v>
      </c>
      <c r="S7" s="53" t="s">
        <v>619</v>
      </c>
      <c r="T7" s="71">
        <v>4.4000000000000004</v>
      </c>
      <c r="U7" s="56"/>
      <c r="V7" s="56"/>
      <c r="W7" s="259">
        <v>20</v>
      </c>
      <c r="X7" s="75">
        <v>62.5</v>
      </c>
      <c r="Y7" s="171" t="s">
        <v>620</v>
      </c>
      <c r="Z7" s="71">
        <v>5</v>
      </c>
      <c r="AA7" s="53" t="s">
        <v>220</v>
      </c>
      <c r="AB7" s="71">
        <v>26.42</v>
      </c>
      <c r="AC7" s="53" t="s">
        <v>621</v>
      </c>
      <c r="AD7" s="71">
        <v>6.29</v>
      </c>
      <c r="AE7" s="53" t="s">
        <v>622</v>
      </c>
      <c r="AF7" s="70">
        <v>9</v>
      </c>
      <c r="AG7" s="56">
        <v>2.29</v>
      </c>
      <c r="AH7" s="61" t="s">
        <v>590</v>
      </c>
      <c r="AI7" s="70">
        <v>1.99</v>
      </c>
      <c r="AJ7" s="56"/>
      <c r="AK7" s="53"/>
      <c r="AL7" s="385" t="s">
        <v>350</v>
      </c>
      <c r="AM7" s="386" t="s">
        <v>351</v>
      </c>
      <c r="AN7" s="387"/>
    </row>
    <row r="8" spans="2:40">
      <c r="B8" s="53"/>
      <c r="C8" s="294" t="s">
        <v>470</v>
      </c>
      <c r="D8" s="60">
        <f>I31</f>
        <v>16.319999999999709</v>
      </c>
      <c r="E8" s="56"/>
      <c r="F8" s="56"/>
      <c r="G8" s="171"/>
      <c r="H8" s="56" t="s">
        <v>524</v>
      </c>
      <c r="I8" s="62">
        <v>1058.08</v>
      </c>
      <c r="J8" s="317" t="s">
        <v>623</v>
      </c>
      <c r="K8" s="53" t="s">
        <v>472</v>
      </c>
      <c r="L8" s="71">
        <v>50</v>
      </c>
      <c r="M8" s="56"/>
      <c r="N8" s="71"/>
      <c r="O8" s="53"/>
      <c r="P8" s="56"/>
      <c r="Q8" s="75"/>
      <c r="R8" s="56"/>
      <c r="S8" s="75" t="s">
        <v>624</v>
      </c>
      <c r="T8" s="71">
        <v>20</v>
      </c>
      <c r="U8" s="56"/>
      <c r="V8" s="56"/>
      <c r="W8" s="259">
        <v>9.33</v>
      </c>
      <c r="X8" s="75">
        <v>2.9</v>
      </c>
      <c r="Y8" s="171" t="s">
        <v>625</v>
      </c>
      <c r="Z8" s="71">
        <v>25</v>
      </c>
      <c r="AA8" s="53" t="s">
        <v>626</v>
      </c>
      <c r="AB8" s="56">
        <v>86</v>
      </c>
      <c r="AC8" s="75"/>
      <c r="AD8" s="71"/>
      <c r="AE8" s="53" t="s">
        <v>627</v>
      </c>
      <c r="AF8" s="56">
        <v>6.35</v>
      </c>
      <c r="AG8" s="297">
        <v>19</v>
      </c>
      <c r="AH8" s="56"/>
      <c r="AI8" s="70"/>
      <c r="AJ8" s="56"/>
      <c r="AK8" s="53"/>
      <c r="AL8" s="385" t="s">
        <v>357</v>
      </c>
      <c r="AM8" s="386" t="s">
        <v>358</v>
      </c>
      <c r="AN8" s="387"/>
    </row>
    <row r="9" spans="2:40">
      <c r="B9" s="53"/>
      <c r="C9" s="72"/>
      <c r="D9" s="126"/>
      <c r="E9" s="56"/>
      <c r="F9" s="56"/>
      <c r="G9" s="171"/>
      <c r="H9" s="56"/>
      <c r="I9" s="62"/>
      <c r="J9" s="317"/>
      <c r="K9" s="53" t="s">
        <v>628</v>
      </c>
      <c r="L9" s="71">
        <v>12</v>
      </c>
      <c r="M9" s="56"/>
      <c r="N9" s="71"/>
      <c r="O9" s="56"/>
      <c r="P9" s="56"/>
      <c r="Q9" s="75"/>
      <c r="R9" s="56"/>
      <c r="S9" s="75"/>
      <c r="T9" s="71"/>
      <c r="U9" s="56"/>
      <c r="V9" s="56"/>
      <c r="W9" s="259"/>
      <c r="X9" s="75">
        <v>59.02</v>
      </c>
      <c r="Y9" s="171" t="s">
        <v>629</v>
      </c>
      <c r="Z9" s="71">
        <v>11.5</v>
      </c>
      <c r="AA9" s="53" t="s">
        <v>630</v>
      </c>
      <c r="AB9" s="56">
        <v>15</v>
      </c>
      <c r="AC9" s="75"/>
      <c r="AD9" s="71"/>
      <c r="AE9" s="53" t="s">
        <v>631</v>
      </c>
      <c r="AF9" s="56">
        <v>10.9</v>
      </c>
      <c r="AG9" s="297"/>
      <c r="AH9" s="56"/>
      <c r="AI9" s="70"/>
      <c r="AJ9" s="56"/>
      <c r="AK9" s="53"/>
      <c r="AL9" s="385" t="s">
        <v>363</v>
      </c>
      <c r="AM9" s="386" t="s">
        <v>364</v>
      </c>
      <c r="AN9" s="387"/>
    </row>
    <row r="10" spans="2:40">
      <c r="B10" s="53"/>
      <c r="C10" s="53"/>
      <c r="D10" s="56"/>
      <c r="E10" s="56"/>
      <c r="F10" s="56"/>
      <c r="G10" s="166"/>
      <c r="H10" s="56"/>
      <c r="I10" s="62"/>
      <c r="J10" s="317"/>
      <c r="K10" s="53"/>
      <c r="L10" s="71"/>
      <c r="M10" s="56"/>
      <c r="N10" s="71"/>
      <c r="O10" s="56"/>
      <c r="P10" s="56"/>
      <c r="Q10" s="75"/>
      <c r="R10" s="56"/>
      <c r="S10" s="75"/>
      <c r="T10" s="71"/>
      <c r="U10" s="56"/>
      <c r="V10" s="56"/>
      <c r="W10" s="259"/>
      <c r="X10" s="273">
        <v>7.02</v>
      </c>
      <c r="Y10" s="171" t="s">
        <v>625</v>
      </c>
      <c r="Z10" s="71">
        <v>25</v>
      </c>
      <c r="AA10" s="53" t="s">
        <v>220</v>
      </c>
      <c r="AB10" s="56">
        <v>29.5</v>
      </c>
      <c r="AC10" s="75"/>
      <c r="AD10" s="71"/>
      <c r="AE10" s="53"/>
      <c r="AF10" s="56"/>
      <c r="AG10" s="297"/>
      <c r="AH10" s="56"/>
      <c r="AI10" s="70"/>
      <c r="AJ10" s="56"/>
      <c r="AK10" s="53"/>
      <c r="AL10" s="385" t="s">
        <v>201</v>
      </c>
      <c r="AM10" s="386" t="s">
        <v>202</v>
      </c>
      <c r="AN10" s="387"/>
    </row>
    <row r="11" spans="2:40">
      <c r="B11" s="53"/>
      <c r="C11" s="742" t="s">
        <v>392</v>
      </c>
      <c r="D11" s="743"/>
      <c r="E11" s="56"/>
      <c r="F11" s="56"/>
      <c r="G11" s="171"/>
      <c r="H11" s="56"/>
      <c r="I11" s="62"/>
      <c r="J11" s="317"/>
      <c r="K11" s="53"/>
      <c r="L11" s="71"/>
      <c r="M11" s="56"/>
      <c r="N11" s="71"/>
      <c r="O11" s="56"/>
      <c r="P11" s="56"/>
      <c r="Q11" s="75"/>
      <c r="R11" s="56"/>
      <c r="S11" s="75"/>
      <c r="T11" s="71"/>
      <c r="U11" s="56"/>
      <c r="V11" s="56"/>
      <c r="W11" s="259"/>
      <c r="X11" s="273">
        <v>5</v>
      </c>
      <c r="Y11" s="56" t="s">
        <v>632</v>
      </c>
      <c r="Z11" s="71">
        <v>11.5</v>
      </c>
      <c r="AA11" s="53" t="s">
        <v>633</v>
      </c>
      <c r="AB11" s="56">
        <v>16.28</v>
      </c>
      <c r="AC11" s="75"/>
      <c r="AD11" s="71"/>
      <c r="AE11" s="53"/>
      <c r="AF11" s="56"/>
      <c r="AG11" s="297"/>
      <c r="AH11" s="56"/>
      <c r="AI11" s="70"/>
      <c r="AJ11" s="56"/>
      <c r="AK11" s="53"/>
      <c r="AL11" s="385" t="s">
        <v>340</v>
      </c>
      <c r="AM11" s="386" t="s">
        <v>367</v>
      </c>
      <c r="AN11" s="387"/>
    </row>
    <row r="12" spans="2:40">
      <c r="B12" s="53"/>
      <c r="C12" s="392" t="s">
        <v>394</v>
      </c>
      <c r="D12" s="393">
        <v>1219.79</v>
      </c>
      <c r="E12" s="458"/>
      <c r="F12" s="458"/>
      <c r="G12" s="311"/>
      <c r="H12" s="56"/>
      <c r="I12" s="62"/>
      <c r="J12" s="317"/>
      <c r="K12" s="53"/>
      <c r="L12" s="71"/>
      <c r="M12" s="56"/>
      <c r="N12" s="71"/>
      <c r="O12" s="56"/>
      <c r="P12" s="56"/>
      <c r="Q12" s="75"/>
      <c r="R12" s="56"/>
      <c r="S12" s="75"/>
      <c r="T12" s="71"/>
      <c r="U12" s="56"/>
      <c r="V12" s="56"/>
      <c r="W12" s="259"/>
      <c r="X12" s="75">
        <v>10</v>
      </c>
      <c r="Y12" s="171" t="s">
        <v>634</v>
      </c>
      <c r="Z12" s="71">
        <v>2</v>
      </c>
      <c r="AC12" s="75"/>
      <c r="AD12" s="71"/>
      <c r="AE12" s="53"/>
      <c r="AF12" s="56"/>
      <c r="AG12" s="297"/>
      <c r="AH12" s="56"/>
      <c r="AI12" s="70"/>
      <c r="AJ12" s="56"/>
      <c r="AK12" s="53"/>
      <c r="AL12" s="385" t="s">
        <v>9</v>
      </c>
      <c r="AM12" s="386" t="s">
        <v>210</v>
      </c>
      <c r="AN12" s="387"/>
    </row>
    <row r="13" spans="2:40">
      <c r="B13" s="53"/>
      <c r="C13" s="392" t="s">
        <v>396</v>
      </c>
      <c r="D13" s="394">
        <f>I27</f>
        <v>0</v>
      </c>
      <c r="E13" s="77"/>
      <c r="F13" s="77"/>
      <c r="G13" s="312"/>
      <c r="H13" s="56"/>
      <c r="I13" s="76"/>
      <c r="J13" s="280"/>
      <c r="K13" s="53"/>
      <c r="L13" s="71"/>
      <c r="M13" s="56"/>
      <c r="N13" s="71"/>
      <c r="O13" s="56"/>
      <c r="P13" s="56"/>
      <c r="Q13" s="75"/>
      <c r="R13" s="56"/>
      <c r="S13" s="75"/>
      <c r="T13" s="71"/>
      <c r="U13" s="56"/>
      <c r="V13" s="56"/>
      <c r="W13" s="259"/>
      <c r="X13" s="75">
        <v>11.69</v>
      </c>
      <c r="Y13" s="171" t="s">
        <v>496</v>
      </c>
      <c r="Z13" s="71">
        <v>10.5</v>
      </c>
      <c r="AA13" s="53"/>
      <c r="AB13" s="56"/>
      <c r="AC13" s="75"/>
      <c r="AD13" s="71"/>
      <c r="AE13" s="53"/>
      <c r="AF13" s="56"/>
      <c r="AG13" s="297"/>
      <c r="AH13" s="56"/>
      <c r="AI13" s="70"/>
      <c r="AJ13" s="56"/>
      <c r="AK13" s="53"/>
      <c r="AL13" s="395" t="s">
        <v>159</v>
      </c>
      <c r="AM13" s="396" t="s">
        <v>368</v>
      </c>
      <c r="AN13" s="397"/>
    </row>
    <row r="14" spans="2:40">
      <c r="B14" s="53"/>
      <c r="C14" s="420" t="s">
        <v>635</v>
      </c>
      <c r="D14" s="421">
        <v>-1058.08</v>
      </c>
      <c r="E14" s="379"/>
      <c r="F14" s="77"/>
      <c r="G14" s="312"/>
      <c r="H14" s="77"/>
      <c r="I14" s="76"/>
      <c r="J14" s="280"/>
      <c r="K14" s="53"/>
      <c r="L14" s="71"/>
      <c r="M14" s="56"/>
      <c r="N14" s="71"/>
      <c r="O14" s="56"/>
      <c r="P14" s="56"/>
      <c r="Q14" s="75"/>
      <c r="R14" s="56"/>
      <c r="S14" s="75"/>
      <c r="T14" s="71"/>
      <c r="U14" s="56"/>
      <c r="V14" s="56"/>
      <c r="W14" s="259"/>
      <c r="X14" s="75">
        <v>16.8</v>
      </c>
      <c r="Y14" s="171"/>
      <c r="Z14" s="71"/>
      <c r="AA14" s="53"/>
      <c r="AB14" s="56"/>
      <c r="AC14" s="75"/>
      <c r="AD14" s="71"/>
      <c r="AE14" s="53"/>
      <c r="AF14" s="56"/>
      <c r="AG14" s="297"/>
      <c r="AH14" s="56"/>
      <c r="AI14" s="70"/>
      <c r="AJ14" s="56"/>
      <c r="AK14" s="53"/>
      <c r="AL14" s="395" t="s">
        <v>161</v>
      </c>
      <c r="AM14" s="396" t="s">
        <v>369</v>
      </c>
      <c r="AN14" s="397"/>
    </row>
    <row r="15" spans="2:40">
      <c r="B15" s="53"/>
      <c r="C15" s="377"/>
      <c r="D15" s="394"/>
      <c r="E15" s="77"/>
      <c r="F15" s="77"/>
      <c r="G15" s="312"/>
      <c r="H15" s="77"/>
      <c r="I15" s="76"/>
      <c r="J15" s="280"/>
      <c r="K15" s="53"/>
      <c r="L15" s="71"/>
      <c r="M15" s="56"/>
      <c r="N15" s="71"/>
      <c r="O15" s="56"/>
      <c r="P15" s="56"/>
      <c r="Q15" s="75"/>
      <c r="R15" s="56"/>
      <c r="S15" s="75"/>
      <c r="T15" s="71"/>
      <c r="U15" s="56"/>
      <c r="V15" s="56"/>
      <c r="W15" s="259"/>
      <c r="X15" s="75">
        <v>77.5</v>
      </c>
      <c r="Y15" s="171"/>
      <c r="Z15" s="71"/>
      <c r="AA15" s="53"/>
      <c r="AB15" s="56"/>
      <c r="AC15" s="75"/>
      <c r="AD15" s="71"/>
      <c r="AE15" s="53"/>
      <c r="AF15" s="56"/>
      <c r="AG15" s="297"/>
      <c r="AH15" s="56"/>
      <c r="AI15" s="70"/>
      <c r="AJ15" s="56"/>
      <c r="AK15" s="53"/>
      <c r="AL15" s="395" t="s">
        <v>162</v>
      </c>
      <c r="AM15" s="396" t="s">
        <v>370</v>
      </c>
      <c r="AN15" s="397"/>
    </row>
    <row r="16" spans="2:40">
      <c r="B16" s="53"/>
      <c r="C16" s="377"/>
      <c r="D16" s="398"/>
      <c r="E16" s="77"/>
      <c r="F16" s="77"/>
      <c r="G16" s="312"/>
      <c r="H16" s="56"/>
      <c r="I16" s="62"/>
      <c r="J16" s="317"/>
      <c r="K16" s="53"/>
      <c r="L16" s="71"/>
      <c r="M16" s="56"/>
      <c r="N16" s="71"/>
      <c r="O16" s="56"/>
      <c r="P16" s="56"/>
      <c r="Q16" s="75"/>
      <c r="R16" s="56"/>
      <c r="S16" s="69"/>
      <c r="T16" s="71"/>
      <c r="U16" s="56"/>
      <c r="V16" s="56"/>
      <c r="W16" s="259"/>
      <c r="X16" s="75">
        <v>5.3</v>
      </c>
      <c r="Y16" s="171"/>
      <c r="Z16" s="71"/>
      <c r="AA16" s="53"/>
      <c r="AB16" s="56"/>
      <c r="AC16" s="75"/>
      <c r="AD16" s="71"/>
      <c r="AE16" s="53"/>
      <c r="AF16" s="56"/>
      <c r="AG16" s="297"/>
      <c r="AH16" s="56"/>
      <c r="AI16" s="70"/>
      <c r="AJ16" s="56"/>
      <c r="AK16" s="53"/>
      <c r="AL16" s="395" t="s">
        <v>163</v>
      </c>
      <c r="AM16" s="396" t="s">
        <v>371</v>
      </c>
      <c r="AN16" s="397"/>
    </row>
    <row r="17" spans="2:40">
      <c r="B17" s="53"/>
      <c r="C17" s="399"/>
      <c r="D17" s="400"/>
      <c r="E17" s="56"/>
      <c r="F17" s="56"/>
      <c r="G17" s="171"/>
      <c r="H17" s="458"/>
      <c r="I17" s="80"/>
      <c r="J17" s="318"/>
      <c r="K17" s="53"/>
      <c r="L17" s="71"/>
      <c r="M17" s="56"/>
      <c r="N17" s="71"/>
      <c r="O17" s="56"/>
      <c r="P17" s="56"/>
      <c r="Q17" s="75"/>
      <c r="R17" s="56"/>
      <c r="S17" s="75"/>
      <c r="T17" s="71"/>
      <c r="U17" s="56"/>
      <c r="V17" s="56"/>
      <c r="W17" s="259"/>
      <c r="X17" s="75">
        <v>2.7</v>
      </c>
      <c r="Y17" s="171"/>
      <c r="Z17" s="71"/>
      <c r="AA17" s="53"/>
      <c r="AB17" s="56"/>
      <c r="AC17" s="75"/>
      <c r="AD17" s="71"/>
      <c r="AE17" s="53"/>
      <c r="AF17" s="56"/>
      <c r="AG17" s="297"/>
      <c r="AH17" s="56"/>
      <c r="AI17" s="70"/>
      <c r="AJ17" s="56"/>
      <c r="AK17" s="53"/>
      <c r="AL17" s="395" t="s">
        <v>224</v>
      </c>
      <c r="AM17" s="396" t="s">
        <v>225</v>
      </c>
      <c r="AN17" s="397"/>
    </row>
    <row r="18" spans="2:40" ht="17.100000000000001" thickBot="1">
      <c r="B18" s="53"/>
      <c r="C18" s="401" t="s">
        <v>227</v>
      </c>
      <c r="D18" s="402">
        <f>SUM(D12:D17)</f>
        <v>161.71000000000004</v>
      </c>
      <c r="E18" s="458"/>
      <c r="F18" s="458"/>
      <c r="G18" s="311"/>
      <c r="H18" s="77"/>
      <c r="I18" s="76"/>
      <c r="J18" s="280"/>
      <c r="K18" s="53"/>
      <c r="L18" s="71"/>
      <c r="M18" s="56"/>
      <c r="N18" s="71"/>
      <c r="O18" s="56"/>
      <c r="P18" s="56"/>
      <c r="Q18" s="75"/>
      <c r="R18" s="56"/>
      <c r="S18" s="75"/>
      <c r="T18" s="71"/>
      <c r="U18" s="56"/>
      <c r="V18" s="56"/>
      <c r="W18" s="259"/>
      <c r="X18" s="75">
        <v>3.34</v>
      </c>
      <c r="Y18" s="171"/>
      <c r="Z18" s="71"/>
      <c r="AA18" s="53"/>
      <c r="AB18" s="56"/>
      <c r="AC18" s="75"/>
      <c r="AD18" s="71"/>
      <c r="AE18" s="53"/>
      <c r="AF18" s="76"/>
      <c r="AG18" s="298"/>
      <c r="AH18" s="76"/>
      <c r="AI18" s="81"/>
      <c r="AJ18" s="76"/>
      <c r="AK18" s="53"/>
      <c r="AL18" s="403" t="s">
        <v>341</v>
      </c>
      <c r="AM18" s="404" t="s">
        <v>372</v>
      </c>
      <c r="AN18" s="405"/>
    </row>
    <row r="19" spans="2:40">
      <c r="B19" s="53"/>
      <c r="C19" s="53"/>
      <c r="D19" s="53"/>
      <c r="E19" s="77"/>
      <c r="F19" s="77"/>
      <c r="G19" s="312"/>
      <c r="H19" s="77"/>
      <c r="I19" s="76"/>
      <c r="J19" s="280"/>
      <c r="K19" s="53"/>
      <c r="L19" s="71"/>
      <c r="M19" s="56"/>
      <c r="N19" s="71"/>
      <c r="O19" s="56"/>
      <c r="P19" s="56"/>
      <c r="Q19" s="75"/>
      <c r="R19" s="56"/>
      <c r="S19" s="75"/>
      <c r="T19" s="71"/>
      <c r="U19" s="56"/>
      <c r="V19" s="56"/>
      <c r="W19" s="259"/>
      <c r="X19" s="75"/>
      <c r="Y19" s="171"/>
      <c r="Z19" s="71"/>
      <c r="AA19" s="53"/>
      <c r="AB19" s="56"/>
      <c r="AC19" s="75"/>
      <c r="AD19" s="71"/>
      <c r="AE19" s="53"/>
      <c r="AF19" s="56"/>
      <c r="AG19" s="297"/>
      <c r="AH19" s="56"/>
      <c r="AI19" s="70"/>
      <c r="AJ19" s="56"/>
      <c r="AK19" s="53"/>
      <c r="AL19" s="53"/>
      <c r="AM19" s="53"/>
      <c r="AN19" s="53"/>
    </row>
    <row r="20" spans="2:40">
      <c r="B20" s="53"/>
      <c r="C20" s="53"/>
      <c r="D20" s="53"/>
      <c r="E20" s="77"/>
      <c r="F20" s="77"/>
      <c r="G20" s="312"/>
      <c r="H20" s="77"/>
      <c r="I20" s="76"/>
      <c r="J20" s="280"/>
      <c r="K20" s="53"/>
      <c r="L20" s="71"/>
      <c r="M20" s="56"/>
      <c r="N20" s="71"/>
      <c r="O20" s="56"/>
      <c r="P20" s="56"/>
      <c r="Q20" s="75"/>
      <c r="R20" s="56"/>
      <c r="S20" s="75"/>
      <c r="T20" s="71"/>
      <c r="U20" s="56"/>
      <c r="V20" s="56"/>
      <c r="W20" s="259"/>
      <c r="X20" s="75"/>
      <c r="Y20" s="171"/>
      <c r="Z20" s="71"/>
      <c r="AA20" s="53"/>
      <c r="AB20" s="56"/>
      <c r="AC20" s="75"/>
      <c r="AD20" s="71"/>
      <c r="AE20" s="53"/>
      <c r="AF20" s="56"/>
      <c r="AG20" s="297"/>
      <c r="AH20" s="56"/>
      <c r="AI20" s="70"/>
      <c r="AJ20" s="56"/>
      <c r="AK20" s="53"/>
      <c r="AL20" s="53"/>
      <c r="AM20" s="53"/>
      <c r="AN20" s="53"/>
    </row>
    <row r="21" spans="2:40">
      <c r="B21" s="53"/>
      <c r="C21" s="53"/>
      <c r="D21" s="53"/>
      <c r="E21" s="77"/>
      <c r="F21" s="77"/>
      <c r="G21" s="312"/>
      <c r="H21" s="77"/>
      <c r="I21" s="76"/>
      <c r="J21" s="280"/>
      <c r="K21" s="53"/>
      <c r="L21" s="71"/>
      <c r="M21" s="56"/>
      <c r="N21" s="71"/>
      <c r="O21" s="56"/>
      <c r="P21" s="56"/>
      <c r="Q21" s="75"/>
      <c r="R21" s="56"/>
      <c r="S21" s="75"/>
      <c r="T21" s="71"/>
      <c r="U21" s="56"/>
      <c r="V21" s="56"/>
      <c r="W21" s="259"/>
      <c r="X21" s="75"/>
      <c r="Y21" s="171"/>
      <c r="Z21" s="71"/>
      <c r="AA21" s="53"/>
      <c r="AB21" s="56"/>
      <c r="AC21" s="75"/>
      <c r="AD21" s="71"/>
      <c r="AE21" s="53"/>
      <c r="AF21" s="56"/>
      <c r="AG21" s="297"/>
      <c r="AH21" s="56"/>
      <c r="AI21" s="70"/>
      <c r="AJ21" s="56"/>
      <c r="AK21" s="53"/>
      <c r="AL21" s="53"/>
      <c r="AM21" s="53"/>
      <c r="AN21" s="53"/>
    </row>
    <row r="22" spans="2:40">
      <c r="B22" s="53"/>
      <c r="C22" s="53"/>
      <c r="D22" s="53"/>
      <c r="E22" s="77"/>
      <c r="F22" s="77"/>
      <c r="G22" s="312"/>
      <c r="H22" s="53"/>
      <c r="I22" s="74"/>
      <c r="J22" s="319"/>
      <c r="K22" s="53"/>
      <c r="L22" s="71"/>
      <c r="M22" s="56"/>
      <c r="N22" s="71"/>
      <c r="O22" s="56"/>
      <c r="P22" s="56"/>
      <c r="Q22" s="75"/>
      <c r="R22" s="56"/>
      <c r="S22" s="75"/>
      <c r="T22" s="71"/>
      <c r="U22" s="56"/>
      <c r="V22" s="56"/>
      <c r="W22" s="259"/>
      <c r="X22" s="75"/>
      <c r="Y22" s="171"/>
      <c r="Z22" s="71"/>
      <c r="AA22" s="53"/>
      <c r="AB22" s="56"/>
      <c r="AC22" s="75"/>
      <c r="AD22" s="71"/>
      <c r="AE22" s="53"/>
      <c r="AF22" s="56"/>
      <c r="AG22" s="297"/>
      <c r="AH22" s="56"/>
      <c r="AI22" s="70"/>
      <c r="AJ22" s="56"/>
      <c r="AK22" s="53"/>
      <c r="AL22" s="53"/>
      <c r="AM22" s="53"/>
      <c r="AN22" s="406"/>
    </row>
    <row r="23" spans="2:40">
      <c r="B23" s="53"/>
      <c r="C23" s="53"/>
      <c r="D23" s="53"/>
      <c r="E23" s="77"/>
      <c r="F23" s="77"/>
      <c r="G23" s="312"/>
      <c r="H23" s="53"/>
      <c r="I23" s="74"/>
      <c r="J23" s="319"/>
      <c r="K23" s="53"/>
      <c r="L23" s="71"/>
      <c r="M23" s="56"/>
      <c r="N23" s="71"/>
      <c r="O23" s="56"/>
      <c r="P23" s="56"/>
      <c r="Q23" s="75"/>
      <c r="R23" s="56"/>
      <c r="S23" s="75"/>
      <c r="T23" s="71"/>
      <c r="U23" s="56"/>
      <c r="V23" s="56"/>
      <c r="W23" s="259"/>
      <c r="X23" s="75"/>
      <c r="Y23" s="171"/>
      <c r="Z23" s="71"/>
      <c r="AA23" s="53"/>
      <c r="AB23" s="56"/>
      <c r="AC23" s="75"/>
      <c r="AD23" s="71"/>
      <c r="AE23" s="53"/>
      <c r="AF23" s="56"/>
      <c r="AG23" s="297"/>
      <c r="AH23" s="56"/>
      <c r="AI23" s="70"/>
      <c r="AJ23" s="56"/>
      <c r="AK23" s="53"/>
      <c r="AL23" s="53"/>
      <c r="AM23" s="53"/>
      <c r="AN23" s="406"/>
    </row>
    <row r="24" spans="2:40">
      <c r="B24" s="53"/>
      <c r="C24" s="53"/>
      <c r="D24" s="53"/>
      <c r="E24" s="77"/>
      <c r="F24" s="77"/>
      <c r="G24" s="312"/>
      <c r="H24" s="53"/>
      <c r="I24" s="74"/>
      <c r="J24" s="319"/>
      <c r="K24" s="53"/>
      <c r="L24" s="71"/>
      <c r="M24" s="56"/>
      <c r="N24" s="71"/>
      <c r="O24" s="56"/>
      <c r="P24" s="56"/>
      <c r="Q24" s="75"/>
      <c r="R24" s="56"/>
      <c r="S24" s="75"/>
      <c r="T24" s="71"/>
      <c r="U24" s="56"/>
      <c r="V24" s="56"/>
      <c r="W24" s="259"/>
      <c r="X24" s="75"/>
      <c r="Y24" s="171"/>
      <c r="Z24" s="71"/>
      <c r="AA24" s="53"/>
      <c r="AB24" s="56"/>
      <c r="AC24" s="75"/>
      <c r="AD24" s="71"/>
      <c r="AE24" s="53"/>
      <c r="AF24" s="56"/>
      <c r="AG24" s="297"/>
      <c r="AH24" s="56"/>
      <c r="AI24" s="70"/>
      <c r="AJ24" s="56"/>
      <c r="AK24" s="53"/>
      <c r="AL24" s="53"/>
      <c r="AM24" s="53"/>
      <c r="AN24" s="406"/>
    </row>
    <row r="25" spans="2:40">
      <c r="B25" s="53"/>
      <c r="C25" s="53"/>
      <c r="D25" s="53"/>
      <c r="E25" s="53"/>
      <c r="F25" s="53"/>
      <c r="G25" s="166"/>
      <c r="H25" s="53"/>
      <c r="I25" s="74"/>
      <c r="J25" s="319"/>
      <c r="K25" s="53"/>
      <c r="L25" s="71"/>
      <c r="M25" s="56"/>
      <c r="N25" s="71"/>
      <c r="O25" s="56"/>
      <c r="P25" s="56"/>
      <c r="Q25" s="75"/>
      <c r="R25" s="56"/>
      <c r="S25" s="75"/>
      <c r="T25" s="71"/>
      <c r="U25" s="56"/>
      <c r="V25" s="56"/>
      <c r="W25" s="259"/>
      <c r="X25" s="75"/>
      <c r="Y25" s="171"/>
      <c r="Z25" s="71"/>
      <c r="AA25" s="53"/>
      <c r="AB25" s="56"/>
      <c r="AC25" s="75"/>
      <c r="AD25" s="71"/>
      <c r="AE25" s="53"/>
      <c r="AF25" s="56"/>
      <c r="AG25" s="297"/>
      <c r="AH25" s="56"/>
      <c r="AI25" s="70"/>
      <c r="AJ25" s="56"/>
      <c r="AK25" s="53"/>
      <c r="AL25" s="53"/>
      <c r="AM25" s="53"/>
      <c r="AN25" s="406"/>
    </row>
    <row r="26" spans="2:40">
      <c r="B26" s="53"/>
      <c r="C26" s="53"/>
      <c r="D26" s="53"/>
      <c r="E26" s="53"/>
      <c r="F26" s="53"/>
      <c r="G26" s="166"/>
      <c r="H26" s="53" t="s">
        <v>227</v>
      </c>
      <c r="I26" s="62">
        <f>SUM(I7:I25)</f>
        <v>1137.9499999999998</v>
      </c>
      <c r="J26" s="317"/>
      <c r="K26" s="53"/>
      <c r="L26" s="71"/>
      <c r="M26" s="56"/>
      <c r="N26" s="71"/>
      <c r="O26" s="56"/>
      <c r="P26" s="56"/>
      <c r="Q26" s="75"/>
      <c r="R26" s="56"/>
      <c r="S26" s="75"/>
      <c r="T26" s="71"/>
      <c r="U26" s="56"/>
      <c r="V26" s="56"/>
      <c r="W26" s="259"/>
      <c r="X26" s="75"/>
      <c r="Y26" s="171"/>
      <c r="Z26" s="71"/>
      <c r="AA26" s="53"/>
      <c r="AB26" s="56"/>
      <c r="AC26" s="75"/>
      <c r="AD26" s="71"/>
      <c r="AE26" s="53"/>
      <c r="AF26" s="56"/>
      <c r="AG26" s="297"/>
      <c r="AH26" s="56"/>
      <c r="AI26" s="70"/>
      <c r="AJ26" s="56"/>
      <c r="AK26" s="53"/>
      <c r="AL26" s="53"/>
      <c r="AM26" s="53"/>
      <c r="AN26" s="406"/>
    </row>
    <row r="27" spans="2:40">
      <c r="B27" s="53"/>
      <c r="C27" s="53"/>
      <c r="D27" s="53"/>
      <c r="E27" s="53"/>
      <c r="F27" s="53"/>
      <c r="G27" s="166"/>
      <c r="H27" s="53" t="s">
        <v>16</v>
      </c>
      <c r="I27" s="62">
        <v>0</v>
      </c>
      <c r="J27" s="317"/>
      <c r="K27" s="53"/>
      <c r="L27" s="71"/>
      <c r="M27" s="56"/>
      <c r="N27" s="71"/>
      <c r="O27" s="56"/>
      <c r="P27" s="56"/>
      <c r="Q27" s="75"/>
      <c r="R27" s="56"/>
      <c r="S27" s="75"/>
      <c r="T27" s="71"/>
      <c r="U27" s="56"/>
      <c r="V27" s="56"/>
      <c r="W27" s="259"/>
      <c r="X27" s="75"/>
      <c r="Y27" s="171"/>
      <c r="Z27" s="71"/>
      <c r="AA27" s="53"/>
      <c r="AB27" s="56"/>
      <c r="AC27" s="75"/>
      <c r="AD27" s="71"/>
      <c r="AE27" s="53"/>
      <c r="AF27" s="56"/>
      <c r="AG27" s="297"/>
      <c r="AH27" s="56"/>
      <c r="AI27" s="70"/>
      <c r="AJ27" s="56"/>
      <c r="AK27" s="53"/>
      <c r="AL27" s="53"/>
      <c r="AM27" s="53"/>
      <c r="AN27" s="406"/>
    </row>
    <row r="28" spans="2:40">
      <c r="B28" s="53"/>
      <c r="C28" s="53"/>
      <c r="D28" s="53"/>
      <c r="E28" s="53"/>
      <c r="F28" s="53"/>
      <c r="G28" s="166"/>
      <c r="H28" s="53" t="s">
        <v>373</v>
      </c>
      <c r="I28" s="62">
        <v>0</v>
      </c>
      <c r="J28" s="317"/>
      <c r="K28" s="53"/>
      <c r="L28" s="71"/>
      <c r="M28" s="56"/>
      <c r="N28" s="71"/>
      <c r="O28" s="56"/>
      <c r="P28" s="56"/>
      <c r="Q28" s="75"/>
      <c r="R28" s="56"/>
      <c r="S28" s="75"/>
      <c r="T28" s="71"/>
      <c r="U28" s="56"/>
      <c r="V28" s="56"/>
      <c r="W28" s="259"/>
      <c r="X28" s="75"/>
      <c r="Y28" s="171"/>
      <c r="Z28" s="71"/>
      <c r="AA28" s="53"/>
      <c r="AB28" s="56"/>
      <c r="AC28" s="75"/>
      <c r="AD28" s="71"/>
      <c r="AE28" s="53"/>
      <c r="AF28" s="56"/>
      <c r="AG28" s="297"/>
      <c r="AH28" s="56"/>
      <c r="AI28" s="70"/>
      <c r="AJ28" s="56"/>
      <c r="AK28" s="53"/>
      <c r="AL28" s="53"/>
      <c r="AM28" s="53"/>
      <c r="AN28" s="53"/>
    </row>
    <row r="29" spans="2:40">
      <c r="B29" s="53"/>
      <c r="C29" s="53"/>
      <c r="D29" s="53"/>
      <c r="E29" s="53"/>
      <c r="F29" s="53"/>
      <c r="G29" s="166"/>
      <c r="H29" s="53"/>
      <c r="I29" s="62"/>
      <c r="J29" s="317"/>
      <c r="K29" s="53"/>
      <c r="L29" s="71"/>
      <c r="M29" s="56"/>
      <c r="N29" s="71"/>
      <c r="O29" s="56"/>
      <c r="P29" s="56"/>
      <c r="Q29" s="75"/>
      <c r="R29" s="56"/>
      <c r="S29" s="75"/>
      <c r="T29" s="71"/>
      <c r="U29" s="56"/>
      <c r="V29" s="56"/>
      <c r="W29" s="259"/>
      <c r="X29" s="75"/>
      <c r="Y29" s="171"/>
      <c r="Z29" s="71"/>
      <c r="AA29" s="53"/>
      <c r="AB29" s="56"/>
      <c r="AC29" s="75"/>
      <c r="AD29" s="71"/>
      <c r="AE29" s="53"/>
      <c r="AF29" s="56"/>
      <c r="AG29" s="297"/>
      <c r="AH29" s="56"/>
      <c r="AI29" s="70"/>
      <c r="AJ29" s="56"/>
      <c r="AK29" s="53"/>
      <c r="AL29" s="53"/>
      <c r="AM29" s="53"/>
      <c r="AN29" s="53"/>
    </row>
    <row r="30" spans="2:40">
      <c r="B30" s="53"/>
      <c r="C30" s="53"/>
      <c r="D30" s="56"/>
      <c r="E30" s="53"/>
      <c r="F30" s="53"/>
      <c r="G30" s="736" t="s">
        <v>229</v>
      </c>
      <c r="H30" s="737"/>
      <c r="I30" s="407">
        <f>I26-I27-I28</f>
        <v>1137.9499999999998</v>
      </c>
      <c r="J30" s="738">
        <f>SUM(L7:L29)</f>
        <v>462</v>
      </c>
      <c r="K30" s="739"/>
      <c r="L30" s="740"/>
      <c r="M30" s="725">
        <f>SUM(N7:N29)</f>
        <v>0</v>
      </c>
      <c r="N30" s="740"/>
      <c r="O30" s="725">
        <f>SUM(P7:P29)</f>
        <v>0</v>
      </c>
      <c r="P30" s="726"/>
      <c r="Q30" s="741">
        <f>SUM(R7:R29)</f>
        <v>22.61</v>
      </c>
      <c r="R30" s="740"/>
      <c r="S30" s="725">
        <f>SUM(T7:T29)</f>
        <v>24.4</v>
      </c>
      <c r="T30" s="740"/>
      <c r="U30" s="725">
        <f>SUM(V7:V29)</f>
        <v>0</v>
      </c>
      <c r="V30" s="726"/>
      <c r="W30" s="408">
        <f>SUM(W7:W29)</f>
        <v>29.33</v>
      </c>
      <c r="X30" s="409">
        <f>SUM(X7:X29)</f>
        <v>263.77</v>
      </c>
      <c r="Y30" s="727">
        <f>SUM(Z7:Z29)</f>
        <v>90.5</v>
      </c>
      <c r="Z30" s="731"/>
      <c r="AA30" s="732">
        <f>SUM(AB7:AB29)</f>
        <v>173.20000000000002</v>
      </c>
      <c r="AB30" s="728"/>
      <c r="AC30" s="730">
        <f>SUM(AD7:AD29)</f>
        <v>6.29</v>
      </c>
      <c r="AD30" s="731"/>
      <c r="AE30" s="732">
        <f>SUM(AF7:AF29)</f>
        <v>26.25</v>
      </c>
      <c r="AF30" s="733"/>
      <c r="AG30" s="410">
        <f>SUM(AG7:AG29)</f>
        <v>21.29</v>
      </c>
      <c r="AH30" s="734">
        <f>SUM(AI7:AI29)</f>
        <v>1.99</v>
      </c>
      <c r="AI30" s="735"/>
      <c r="AJ30" s="56"/>
      <c r="AK30" s="53"/>
      <c r="AL30" s="53"/>
      <c r="AM30" s="53"/>
      <c r="AN30" s="53"/>
    </row>
    <row r="31" spans="2:40" ht="17.100000000000001" thickBot="1">
      <c r="B31" s="53"/>
      <c r="C31" s="53"/>
      <c r="D31" s="53"/>
      <c r="E31" s="53"/>
      <c r="F31" s="53"/>
      <c r="G31" s="714" t="s">
        <v>470</v>
      </c>
      <c r="H31" s="715"/>
      <c r="I31" s="411">
        <f>I30-J32</f>
        <v>16.319999999999709</v>
      </c>
      <c r="J31" s="716">
        <f>SUM(J30:X30)</f>
        <v>802.11</v>
      </c>
      <c r="K31" s="717"/>
      <c r="L31" s="717"/>
      <c r="M31" s="717"/>
      <c r="N31" s="717"/>
      <c r="O31" s="717"/>
      <c r="P31" s="717"/>
      <c r="Q31" s="717"/>
      <c r="R31" s="717"/>
      <c r="S31" s="717"/>
      <c r="T31" s="717"/>
      <c r="U31" s="717"/>
      <c r="V31" s="717"/>
      <c r="W31" s="717"/>
      <c r="X31" s="718"/>
      <c r="Y31" s="719">
        <f>SUM(Y30:AI30)</f>
        <v>319.5200000000001</v>
      </c>
      <c r="Z31" s="720"/>
      <c r="AA31" s="720"/>
      <c r="AB31" s="720"/>
      <c r="AC31" s="720"/>
      <c r="AD31" s="720"/>
      <c r="AE31" s="720"/>
      <c r="AF31" s="720"/>
      <c r="AG31" s="720"/>
      <c r="AH31" s="720"/>
      <c r="AI31" s="721"/>
      <c r="AJ31" s="56"/>
      <c r="AK31" s="53"/>
      <c r="AL31" s="56"/>
      <c r="AM31" s="53"/>
      <c r="AN31" s="53"/>
    </row>
    <row r="32" spans="2:40" ht="21" thickTop="1" thickBot="1">
      <c r="B32" s="53"/>
      <c r="C32" s="53"/>
      <c r="D32" s="53"/>
      <c r="E32" s="53"/>
      <c r="F32" s="53"/>
      <c r="G32" s="53"/>
      <c r="H32" s="56"/>
      <c r="I32" s="53"/>
      <c r="J32" s="722">
        <f>SUM(J31:AI31)</f>
        <v>1121.6300000000001</v>
      </c>
      <c r="K32" s="723"/>
      <c r="L32" s="723"/>
      <c r="M32" s="723"/>
      <c r="N32" s="723"/>
      <c r="O32" s="723"/>
      <c r="P32" s="723"/>
      <c r="Q32" s="723"/>
      <c r="R32" s="723"/>
      <c r="S32" s="723"/>
      <c r="T32" s="723"/>
      <c r="U32" s="723"/>
      <c r="V32" s="723"/>
      <c r="W32" s="723"/>
      <c r="X32" s="723"/>
      <c r="Y32" s="723"/>
      <c r="Z32" s="723"/>
      <c r="AA32" s="723"/>
      <c r="AB32" s="723"/>
      <c r="AC32" s="723"/>
      <c r="AD32" s="723"/>
      <c r="AE32" s="723"/>
      <c r="AF32" s="723"/>
      <c r="AG32" s="723"/>
      <c r="AH32" s="723"/>
      <c r="AI32" s="724"/>
      <c r="AJ32" s="56"/>
      <c r="AK32" s="53"/>
      <c r="AL32" s="53"/>
      <c r="AM32" s="53"/>
      <c r="AN32" s="53"/>
    </row>
    <row r="33" spans="2:40"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</row>
    <row r="34" spans="2:40"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</row>
    <row r="35" spans="2:40"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</row>
    <row r="36" spans="2:40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</row>
    <row r="37" spans="2:40">
      <c r="B37" s="53"/>
      <c r="C37" s="53"/>
      <c r="D37" s="53"/>
      <c r="E37" s="53"/>
      <c r="F37" s="53"/>
      <c r="G37" s="412">
        <v>1480</v>
      </c>
      <c r="H37" s="412" t="s">
        <v>616</v>
      </c>
      <c r="I37" s="412"/>
      <c r="J37" s="412"/>
      <c r="K37" s="412"/>
      <c r="L37" s="412"/>
      <c r="M37" s="412"/>
      <c r="N37" s="412"/>
      <c r="O37" s="56"/>
      <c r="P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</row>
    <row r="38" spans="2:40">
      <c r="B38" s="53"/>
      <c r="C38" s="53"/>
      <c r="D38" s="53"/>
      <c r="E38" s="53"/>
      <c r="F38" s="53"/>
      <c r="G38" s="56"/>
      <c r="H38" s="53"/>
      <c r="I38" s="53"/>
      <c r="J38" s="53"/>
      <c r="K38" s="53"/>
      <c r="L38" s="53"/>
      <c r="M38" s="53"/>
      <c r="N38" s="53"/>
      <c r="O38" s="53"/>
      <c r="P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</row>
  </sheetData>
  <mergeCells count="32">
    <mergeCell ref="C11:D11"/>
    <mergeCell ref="C4:D4"/>
    <mergeCell ref="G4:AI4"/>
    <mergeCell ref="AL4:AN4"/>
    <mergeCell ref="G5:I5"/>
    <mergeCell ref="J5:L5"/>
    <mergeCell ref="M5:N5"/>
    <mergeCell ref="O5:P5"/>
    <mergeCell ref="Q5:R5"/>
    <mergeCell ref="S5:T5"/>
    <mergeCell ref="U5:V5"/>
    <mergeCell ref="Y5:Z5"/>
    <mergeCell ref="AA5:AB5"/>
    <mergeCell ref="AC5:AD5"/>
    <mergeCell ref="AE5:AF5"/>
    <mergeCell ref="AH5:AI5"/>
    <mergeCell ref="G31:H31"/>
    <mergeCell ref="J31:X31"/>
    <mergeCell ref="Y31:AI31"/>
    <mergeCell ref="J32:AI32"/>
    <mergeCell ref="U30:V30"/>
    <mergeCell ref="Y30:Z30"/>
    <mergeCell ref="AA30:AB30"/>
    <mergeCell ref="AC30:AD30"/>
    <mergeCell ref="AE30:AF30"/>
    <mergeCell ref="AH30:AI30"/>
    <mergeCell ref="G30:H30"/>
    <mergeCell ref="J30:L30"/>
    <mergeCell ref="M30:N30"/>
    <mergeCell ref="O30:P30"/>
    <mergeCell ref="Q30:R30"/>
    <mergeCell ref="S30:T3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5555-C7C8-E144-AC69-7FCBB7A181F9}">
  <sheetPr>
    <tabColor theme="9" tint="0.59999389629810485"/>
  </sheetPr>
  <dimension ref="B3:AN38"/>
  <sheetViews>
    <sheetView topLeftCell="X6" zoomScale="76" workbookViewId="0">
      <selection activeCell="AE7" sqref="AE7"/>
    </sheetView>
  </sheetViews>
  <sheetFormatPr defaultColWidth="11" defaultRowHeight="15.95"/>
  <cols>
    <col min="3" max="3" width="27.125" customWidth="1"/>
    <col min="4" max="4" width="14.125" customWidth="1"/>
    <col min="7" max="7" width="11.875" customWidth="1"/>
    <col min="8" max="8" width="25" customWidth="1"/>
    <col min="10" max="10" width="8.625" customWidth="1"/>
    <col min="11" max="11" width="17" customWidth="1"/>
    <col min="25" max="25" width="13" customWidth="1"/>
    <col min="27" max="27" width="15.125" customWidth="1"/>
    <col min="31" max="31" width="13.125" customWidth="1"/>
    <col min="34" max="34" width="13.625" customWidth="1"/>
    <col min="38" max="38" width="21.375" customWidth="1"/>
    <col min="40" max="40" width="57.375" customWidth="1"/>
  </cols>
  <sheetData>
    <row r="3" spans="2:40" ht="17.100000000000001" thickBot="1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</row>
    <row r="4" spans="2:40" ht="21.95" thickBot="1">
      <c r="B4" s="53"/>
      <c r="C4" s="484" t="s">
        <v>0</v>
      </c>
      <c r="D4" s="744"/>
      <c r="E4" s="456"/>
      <c r="F4" s="456"/>
      <c r="G4" s="745" t="s">
        <v>636</v>
      </c>
      <c r="H4" s="746"/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746"/>
      <c r="X4" s="746"/>
      <c r="Y4" s="746"/>
      <c r="Z4" s="746"/>
      <c r="AA4" s="746"/>
      <c r="AB4" s="746"/>
      <c r="AC4" s="746"/>
      <c r="AD4" s="746"/>
      <c r="AE4" s="746"/>
      <c r="AF4" s="746"/>
      <c r="AG4" s="746"/>
      <c r="AH4" s="746"/>
      <c r="AI4" s="747"/>
      <c r="AJ4" s="459"/>
      <c r="AK4" s="53"/>
      <c r="AL4" s="748" t="s">
        <v>333</v>
      </c>
      <c r="AM4" s="749"/>
      <c r="AN4" s="750"/>
    </row>
    <row r="5" spans="2:40">
      <c r="B5" s="53"/>
      <c r="C5" s="380" t="s">
        <v>1</v>
      </c>
      <c r="D5" s="381">
        <f>J31</f>
        <v>878.02</v>
      </c>
      <c r="E5" s="458"/>
      <c r="F5" s="458"/>
      <c r="G5" s="751" t="s">
        <v>460</v>
      </c>
      <c r="H5" s="752"/>
      <c r="I5" s="753"/>
      <c r="J5" s="754" t="s">
        <v>334</v>
      </c>
      <c r="K5" s="755"/>
      <c r="L5" s="756"/>
      <c r="M5" s="757" t="s">
        <v>335</v>
      </c>
      <c r="N5" s="756"/>
      <c r="O5" s="757" t="s">
        <v>336</v>
      </c>
      <c r="P5" s="758"/>
      <c r="Q5" s="759" t="s">
        <v>337</v>
      </c>
      <c r="R5" s="756"/>
      <c r="S5" s="757" t="s">
        <v>461</v>
      </c>
      <c r="T5" s="756"/>
      <c r="U5" s="757" t="s">
        <v>339</v>
      </c>
      <c r="V5" s="758"/>
      <c r="W5" s="383" t="s">
        <v>340</v>
      </c>
      <c r="X5" s="382" t="s">
        <v>9</v>
      </c>
      <c r="Y5" s="760" t="s">
        <v>159</v>
      </c>
      <c r="Z5" s="761"/>
      <c r="AA5" s="762" t="s">
        <v>11</v>
      </c>
      <c r="AB5" s="761"/>
      <c r="AC5" s="762" t="s">
        <v>162</v>
      </c>
      <c r="AD5" s="761"/>
      <c r="AE5" s="762" t="s">
        <v>163</v>
      </c>
      <c r="AF5" s="763"/>
      <c r="AG5" s="384" t="s">
        <v>224</v>
      </c>
      <c r="AH5" s="764" t="s">
        <v>341</v>
      </c>
      <c r="AI5" s="765"/>
      <c r="AJ5" s="458"/>
      <c r="AK5" s="53"/>
      <c r="AL5" s="385" t="s">
        <v>334</v>
      </c>
      <c r="AM5" s="386" t="s">
        <v>342</v>
      </c>
      <c r="AN5" s="387"/>
    </row>
    <row r="6" spans="2:40">
      <c r="B6" s="53"/>
      <c r="C6" s="388" t="s">
        <v>154</v>
      </c>
      <c r="D6" s="389">
        <f>Y31</f>
        <v>619.20000000000005</v>
      </c>
      <c r="E6" s="56"/>
      <c r="F6" s="56"/>
      <c r="G6" s="171" t="s">
        <v>462</v>
      </c>
      <c r="H6" s="457" t="s">
        <v>6</v>
      </c>
      <c r="I6" s="58" t="s">
        <v>7</v>
      </c>
      <c r="J6" s="316" t="s">
        <v>462</v>
      </c>
      <c r="K6" s="64" t="s">
        <v>166</v>
      </c>
      <c r="L6" s="67" t="s">
        <v>7</v>
      </c>
      <c r="M6" s="64" t="s">
        <v>166</v>
      </c>
      <c r="N6" s="67" t="s">
        <v>7</v>
      </c>
      <c r="O6" s="64" t="s">
        <v>166</v>
      </c>
      <c r="P6" s="64" t="s">
        <v>7</v>
      </c>
      <c r="Q6" s="87" t="s">
        <v>166</v>
      </c>
      <c r="R6" s="64" t="s">
        <v>7</v>
      </c>
      <c r="S6" s="87" t="s">
        <v>166</v>
      </c>
      <c r="T6" s="64" t="s">
        <v>7</v>
      </c>
      <c r="U6" s="87" t="s">
        <v>166</v>
      </c>
      <c r="V6" s="64" t="s">
        <v>7</v>
      </c>
      <c r="W6" s="390" t="s">
        <v>7</v>
      </c>
      <c r="X6" s="391" t="s">
        <v>7</v>
      </c>
      <c r="Y6" s="446" t="s">
        <v>166</v>
      </c>
      <c r="Z6" s="67" t="s">
        <v>7</v>
      </c>
      <c r="AA6" s="64" t="s">
        <v>166</v>
      </c>
      <c r="AB6" s="64" t="s">
        <v>7</v>
      </c>
      <c r="AC6" s="87" t="s">
        <v>166</v>
      </c>
      <c r="AD6" s="67" t="s">
        <v>7</v>
      </c>
      <c r="AE6" s="64" t="s">
        <v>166</v>
      </c>
      <c r="AF6" s="64" t="s">
        <v>7</v>
      </c>
      <c r="AG6" s="296" t="s">
        <v>7</v>
      </c>
      <c r="AH6" s="64" t="s">
        <v>166</v>
      </c>
      <c r="AI6" s="447" t="s">
        <v>7</v>
      </c>
      <c r="AJ6" s="460"/>
      <c r="AK6" s="53"/>
      <c r="AL6" s="385" t="s">
        <v>335</v>
      </c>
      <c r="AM6" s="386" t="s">
        <v>343</v>
      </c>
      <c r="AN6" s="387"/>
    </row>
    <row r="7" spans="2:40">
      <c r="B7" s="53"/>
      <c r="C7" s="293" t="s">
        <v>227</v>
      </c>
      <c r="D7" s="290">
        <f>D5+D6</f>
        <v>1497.22</v>
      </c>
      <c r="E7" s="56"/>
      <c r="F7" s="56"/>
      <c r="G7" s="171"/>
      <c r="H7" s="56" t="s">
        <v>175</v>
      </c>
      <c r="I7" s="62">
        <v>16.28</v>
      </c>
      <c r="J7" s="317"/>
      <c r="K7" s="53" t="s">
        <v>464</v>
      </c>
      <c r="L7" s="71">
        <v>500</v>
      </c>
      <c r="M7" s="56"/>
      <c r="N7" s="71"/>
      <c r="O7" s="53"/>
      <c r="P7" s="71"/>
      <c r="Q7" s="53" t="s">
        <v>183</v>
      </c>
      <c r="R7" s="71">
        <v>21.64</v>
      </c>
      <c r="S7" s="53" t="s">
        <v>637</v>
      </c>
      <c r="T7" s="71">
        <v>30.58</v>
      </c>
      <c r="U7" s="56" t="s">
        <v>638</v>
      </c>
      <c r="V7" s="56">
        <v>42.49</v>
      </c>
      <c r="W7" s="259"/>
      <c r="X7" s="75">
        <v>6.91</v>
      </c>
      <c r="Y7" s="171" t="s">
        <v>625</v>
      </c>
      <c r="Z7" s="71">
        <v>50</v>
      </c>
      <c r="AA7" s="53" t="s">
        <v>639</v>
      </c>
      <c r="AB7" s="71">
        <v>4.9000000000000004</v>
      </c>
      <c r="AC7" s="53"/>
      <c r="AD7" s="71"/>
      <c r="AE7" s="53" t="s">
        <v>640</v>
      </c>
      <c r="AF7" s="70">
        <v>5.8</v>
      </c>
      <c r="AG7" s="56">
        <v>17.53</v>
      </c>
      <c r="AH7" s="61" t="s">
        <v>590</v>
      </c>
      <c r="AI7" s="70">
        <v>1.99</v>
      </c>
      <c r="AJ7" s="56"/>
      <c r="AK7" s="53"/>
      <c r="AL7" s="385" t="s">
        <v>350</v>
      </c>
      <c r="AM7" s="386" t="s">
        <v>351</v>
      </c>
      <c r="AN7" s="387"/>
    </row>
    <row r="8" spans="2:40">
      <c r="B8" s="53"/>
      <c r="C8" s="294" t="s">
        <v>470</v>
      </c>
      <c r="D8" s="60">
        <f>I31</f>
        <v>442.77</v>
      </c>
      <c r="E8" s="56"/>
      <c r="F8" s="56"/>
      <c r="G8" s="171" t="s">
        <v>641</v>
      </c>
      <c r="H8" s="56" t="s">
        <v>642</v>
      </c>
      <c r="I8" s="62">
        <v>161.71</v>
      </c>
      <c r="J8" s="317"/>
      <c r="K8" s="53" t="s">
        <v>472</v>
      </c>
      <c r="L8" s="71">
        <v>50</v>
      </c>
      <c r="M8" s="56"/>
      <c r="N8" s="71"/>
      <c r="O8" s="53"/>
      <c r="P8" s="56"/>
      <c r="Q8" s="75"/>
      <c r="R8" s="56"/>
      <c r="S8" s="75" t="s">
        <v>643</v>
      </c>
      <c r="T8" s="71">
        <v>5.13</v>
      </c>
      <c r="U8" s="56"/>
      <c r="V8" s="56"/>
      <c r="W8" s="259"/>
      <c r="X8" s="75">
        <v>28.05</v>
      </c>
      <c r="Y8" s="171" t="s">
        <v>644</v>
      </c>
      <c r="Z8" s="71">
        <v>28.57</v>
      </c>
      <c r="AA8" s="53" t="s">
        <v>645</v>
      </c>
      <c r="AB8" s="56">
        <v>30</v>
      </c>
      <c r="AC8" s="75"/>
      <c r="AD8" s="71"/>
      <c r="AE8" s="53" t="s">
        <v>646</v>
      </c>
      <c r="AF8" s="56">
        <v>80</v>
      </c>
      <c r="AG8" s="297">
        <v>0.51</v>
      </c>
      <c r="AH8" s="56" t="s">
        <v>647</v>
      </c>
      <c r="AI8" s="70">
        <v>79</v>
      </c>
      <c r="AJ8" s="56"/>
      <c r="AK8" s="53"/>
      <c r="AL8" s="385" t="s">
        <v>357</v>
      </c>
      <c r="AM8" s="386" t="s">
        <v>358</v>
      </c>
      <c r="AN8" s="387"/>
    </row>
    <row r="9" spans="2:40">
      <c r="B9" s="53"/>
      <c r="C9" s="72"/>
      <c r="D9" s="126"/>
      <c r="E9" s="56"/>
      <c r="F9" s="56"/>
      <c r="G9" s="171" t="s">
        <v>648</v>
      </c>
      <c r="H9" s="56" t="s">
        <v>649</v>
      </c>
      <c r="I9" s="62">
        <v>440.5</v>
      </c>
      <c r="J9" s="317"/>
      <c r="K9" s="53" t="s">
        <v>650</v>
      </c>
      <c r="L9" s="71">
        <v>12</v>
      </c>
      <c r="M9" s="56"/>
      <c r="N9" s="71"/>
      <c r="O9" s="56"/>
      <c r="P9" s="56"/>
      <c r="Q9" s="75"/>
      <c r="R9" s="56"/>
      <c r="S9" s="75" t="s">
        <v>651</v>
      </c>
      <c r="T9" s="71">
        <v>18</v>
      </c>
      <c r="U9" s="56"/>
      <c r="V9" s="56"/>
      <c r="W9" s="259"/>
      <c r="X9" s="75">
        <v>2</v>
      </c>
      <c r="Y9" s="171" t="s">
        <v>652</v>
      </c>
      <c r="Z9" s="71">
        <v>13.5</v>
      </c>
      <c r="AA9" s="53"/>
      <c r="AB9" s="56"/>
      <c r="AC9" s="75"/>
      <c r="AD9" s="71"/>
      <c r="AE9" s="53" t="s">
        <v>653</v>
      </c>
      <c r="AF9" s="56">
        <v>35</v>
      </c>
      <c r="AG9" s="297"/>
      <c r="AH9" s="56" t="s">
        <v>654</v>
      </c>
      <c r="AI9" s="70">
        <v>250</v>
      </c>
      <c r="AJ9" s="56"/>
      <c r="AK9" s="53"/>
      <c r="AL9" s="385" t="s">
        <v>363</v>
      </c>
      <c r="AM9" s="386" t="s">
        <v>364</v>
      </c>
      <c r="AN9" s="387"/>
    </row>
    <row r="10" spans="2:40">
      <c r="B10" s="53"/>
      <c r="C10" s="53"/>
      <c r="D10" s="56"/>
      <c r="E10" s="56"/>
      <c r="F10" s="56"/>
      <c r="G10" s="166" t="s">
        <v>655</v>
      </c>
      <c r="H10" s="56" t="s">
        <v>656</v>
      </c>
      <c r="I10" s="62">
        <v>440.5</v>
      </c>
      <c r="J10" s="317"/>
      <c r="K10" s="53"/>
      <c r="L10" s="71"/>
      <c r="M10" s="56"/>
      <c r="N10" s="71"/>
      <c r="O10" s="56"/>
      <c r="P10" s="56"/>
      <c r="Q10" s="75"/>
      <c r="R10" s="56"/>
      <c r="S10" s="75" t="s">
        <v>637</v>
      </c>
      <c r="T10" s="71">
        <v>30</v>
      </c>
      <c r="U10" s="56"/>
      <c r="V10" s="56"/>
      <c r="W10" s="259"/>
      <c r="X10" s="273">
        <v>10</v>
      </c>
      <c r="Y10" s="56" t="s">
        <v>657</v>
      </c>
      <c r="Z10" s="71">
        <v>1</v>
      </c>
      <c r="AA10" s="53"/>
      <c r="AB10" s="56"/>
      <c r="AC10" s="75"/>
      <c r="AD10" s="71"/>
      <c r="AE10" s="53" t="s">
        <v>658</v>
      </c>
      <c r="AF10" s="56">
        <v>19</v>
      </c>
      <c r="AG10" s="297"/>
      <c r="AH10" s="56"/>
      <c r="AI10" s="70"/>
      <c r="AJ10" s="56"/>
      <c r="AK10" s="53"/>
      <c r="AL10" s="385" t="s">
        <v>201</v>
      </c>
      <c r="AM10" s="386" t="s">
        <v>202</v>
      </c>
      <c r="AN10" s="387"/>
    </row>
    <row r="11" spans="2:40">
      <c r="B11" s="53"/>
      <c r="C11" s="742" t="s">
        <v>392</v>
      </c>
      <c r="D11" s="743"/>
      <c r="E11" s="56"/>
      <c r="F11" s="56"/>
      <c r="G11" s="171" t="s">
        <v>659</v>
      </c>
      <c r="H11" s="56" t="s">
        <v>660</v>
      </c>
      <c r="I11" s="62">
        <v>440.5</v>
      </c>
      <c r="J11" s="317"/>
      <c r="K11" s="53"/>
      <c r="L11" s="71"/>
      <c r="M11" s="56"/>
      <c r="N11" s="71"/>
      <c r="O11" s="56"/>
      <c r="P11" s="56"/>
      <c r="Q11" s="75"/>
      <c r="R11" s="56"/>
      <c r="S11" s="75" t="s">
        <v>637</v>
      </c>
      <c r="T11" s="71">
        <v>15.27</v>
      </c>
      <c r="U11" s="56"/>
      <c r="V11" s="56"/>
      <c r="W11" s="259"/>
      <c r="X11" s="273">
        <v>7.94</v>
      </c>
      <c r="Y11" s="56"/>
      <c r="Z11" s="71"/>
      <c r="AA11" s="53"/>
      <c r="AB11" s="56"/>
      <c r="AC11" s="75"/>
      <c r="AD11" s="71"/>
      <c r="AE11" s="53" t="s">
        <v>661</v>
      </c>
      <c r="AF11" s="56">
        <v>2.4</v>
      </c>
      <c r="AG11" s="297"/>
      <c r="AH11" s="56"/>
      <c r="AI11" s="70"/>
      <c r="AJ11" s="56"/>
      <c r="AK11" s="53"/>
      <c r="AL11" s="385" t="s">
        <v>340</v>
      </c>
      <c r="AM11" s="386" t="s">
        <v>367</v>
      </c>
      <c r="AN11" s="387"/>
    </row>
    <row r="12" spans="2:40">
      <c r="B12" s="53"/>
      <c r="C12" s="392" t="s">
        <v>394</v>
      </c>
      <c r="D12" s="393">
        <v>161.71</v>
      </c>
      <c r="E12" s="458"/>
      <c r="F12" s="458"/>
      <c r="G12" s="424" t="s">
        <v>662</v>
      </c>
      <c r="H12" s="56" t="s">
        <v>663</v>
      </c>
      <c r="I12" s="62">
        <v>440.5</v>
      </c>
      <c r="J12" s="317"/>
      <c r="K12" s="53"/>
      <c r="L12" s="71"/>
      <c r="M12" s="56"/>
      <c r="N12" s="71"/>
      <c r="O12" s="56"/>
      <c r="P12" s="56"/>
      <c r="Q12" s="75"/>
      <c r="R12" s="56"/>
      <c r="S12" s="75"/>
      <c r="T12" s="71"/>
      <c r="U12" s="56"/>
      <c r="V12" s="56"/>
      <c r="W12" s="259"/>
      <c r="X12" s="75">
        <v>12</v>
      </c>
      <c r="Y12" s="171"/>
      <c r="Z12" s="71"/>
      <c r="AA12" s="53"/>
      <c r="AB12" s="56"/>
      <c r="AC12" s="75"/>
      <c r="AD12" s="71"/>
      <c r="AE12" s="53"/>
      <c r="AF12" s="56"/>
      <c r="AG12" s="297"/>
      <c r="AH12" s="56"/>
      <c r="AI12" s="70"/>
      <c r="AJ12" s="56"/>
      <c r="AK12" s="53"/>
      <c r="AL12" s="385" t="s">
        <v>9</v>
      </c>
      <c r="AM12" s="386" t="s">
        <v>210</v>
      </c>
      <c r="AN12" s="387"/>
    </row>
    <row r="13" spans="2:40">
      <c r="B13" s="53"/>
      <c r="C13" s="392" t="s">
        <v>396</v>
      </c>
      <c r="D13" s="394">
        <f>I27</f>
        <v>0</v>
      </c>
      <c r="E13" s="77"/>
      <c r="F13" s="77"/>
      <c r="G13" s="312"/>
      <c r="H13" s="56"/>
      <c r="I13" s="76"/>
      <c r="J13" s="280"/>
      <c r="K13" s="53"/>
      <c r="L13" s="71"/>
      <c r="M13" s="56"/>
      <c r="N13" s="71"/>
      <c r="O13" s="56"/>
      <c r="P13" s="56"/>
      <c r="Q13" s="75"/>
      <c r="R13" s="56"/>
      <c r="S13" s="75"/>
      <c r="T13" s="71"/>
      <c r="U13" s="56"/>
      <c r="V13" s="56"/>
      <c r="W13" s="259"/>
      <c r="X13" s="75">
        <v>4.05</v>
      </c>
      <c r="Y13" s="171"/>
      <c r="Z13" s="71"/>
      <c r="AA13" s="53"/>
      <c r="AB13" s="56"/>
      <c r="AC13" s="75"/>
      <c r="AD13" s="71"/>
      <c r="AE13" s="53"/>
      <c r="AF13" s="56"/>
      <c r="AG13" s="297"/>
      <c r="AH13" s="56"/>
      <c r="AI13" s="70"/>
      <c r="AJ13" s="56"/>
      <c r="AK13" s="53"/>
      <c r="AL13" s="395" t="s">
        <v>159</v>
      </c>
      <c r="AM13" s="396" t="s">
        <v>368</v>
      </c>
      <c r="AN13" s="397"/>
    </row>
    <row r="14" spans="2:40">
      <c r="B14" s="53"/>
      <c r="C14" s="420" t="s">
        <v>635</v>
      </c>
      <c r="D14" s="421">
        <v>-161.71</v>
      </c>
      <c r="E14" s="379"/>
      <c r="F14" s="77"/>
      <c r="G14" s="312"/>
      <c r="H14" s="77"/>
      <c r="I14" s="76"/>
      <c r="J14" s="280"/>
      <c r="K14" s="53"/>
      <c r="L14" s="71"/>
      <c r="M14" s="56"/>
      <c r="N14" s="71"/>
      <c r="O14" s="56"/>
      <c r="P14" s="56"/>
      <c r="Q14" s="75"/>
      <c r="R14" s="56"/>
      <c r="S14" s="75"/>
      <c r="T14" s="71"/>
      <c r="U14" s="56"/>
      <c r="V14" s="56"/>
      <c r="W14" s="259"/>
      <c r="X14" s="75">
        <v>7.29</v>
      </c>
      <c r="Y14" s="171"/>
      <c r="Z14" s="71"/>
      <c r="AA14" s="53"/>
      <c r="AB14" s="56"/>
      <c r="AC14" s="75"/>
      <c r="AD14" s="71"/>
      <c r="AE14" s="53"/>
      <c r="AF14" s="56"/>
      <c r="AG14" s="297"/>
      <c r="AH14" s="56"/>
      <c r="AI14" s="70"/>
      <c r="AJ14" s="56"/>
      <c r="AK14" s="53"/>
      <c r="AL14" s="395" t="s">
        <v>161</v>
      </c>
      <c r="AM14" s="396" t="s">
        <v>369</v>
      </c>
      <c r="AN14" s="397"/>
    </row>
    <row r="15" spans="2:40">
      <c r="B15" s="53"/>
      <c r="C15" s="377"/>
      <c r="D15" s="394"/>
      <c r="E15" s="77"/>
      <c r="F15" s="77"/>
      <c r="G15" s="312"/>
      <c r="H15" s="77"/>
      <c r="I15" s="76"/>
      <c r="J15" s="280"/>
      <c r="K15" s="53"/>
      <c r="L15" s="71"/>
      <c r="M15" s="56"/>
      <c r="N15" s="71"/>
      <c r="O15" s="56"/>
      <c r="P15" s="56"/>
      <c r="Q15" s="75"/>
      <c r="R15" s="56"/>
      <c r="S15" s="75"/>
      <c r="T15" s="71"/>
      <c r="U15" s="56"/>
      <c r="V15" s="56"/>
      <c r="W15" s="259"/>
      <c r="X15" s="75">
        <v>37.9</v>
      </c>
      <c r="Y15" s="171"/>
      <c r="Z15" s="71"/>
      <c r="AA15" s="53"/>
      <c r="AB15" s="56"/>
      <c r="AC15" s="75"/>
      <c r="AD15" s="71"/>
      <c r="AE15" s="53"/>
      <c r="AF15" s="56"/>
      <c r="AG15" s="297"/>
      <c r="AH15" s="56"/>
      <c r="AI15" s="70"/>
      <c r="AJ15" s="56"/>
      <c r="AK15" s="53"/>
      <c r="AL15" s="395" t="s">
        <v>162</v>
      </c>
      <c r="AM15" s="396" t="s">
        <v>370</v>
      </c>
      <c r="AN15" s="397"/>
    </row>
    <row r="16" spans="2:40">
      <c r="B16" s="53"/>
      <c r="C16" s="377"/>
      <c r="D16" s="398"/>
      <c r="E16" s="77"/>
      <c r="F16" s="77"/>
      <c r="G16" s="312"/>
      <c r="H16" s="56"/>
      <c r="I16" s="62"/>
      <c r="J16" s="317"/>
      <c r="K16" s="53"/>
      <c r="L16" s="71"/>
      <c r="M16" s="56"/>
      <c r="N16" s="71"/>
      <c r="O16" s="56"/>
      <c r="P16" s="56"/>
      <c r="Q16" s="75"/>
      <c r="R16" s="56"/>
      <c r="S16" s="69"/>
      <c r="T16" s="71"/>
      <c r="U16" s="56"/>
      <c r="V16" s="56"/>
      <c r="W16" s="259"/>
      <c r="X16" s="75">
        <v>16</v>
      </c>
      <c r="Y16" s="171"/>
      <c r="Z16" s="71"/>
      <c r="AA16" s="53"/>
      <c r="AB16" s="56"/>
      <c r="AC16" s="75"/>
      <c r="AD16" s="71"/>
      <c r="AE16" s="53"/>
      <c r="AF16" s="56"/>
      <c r="AG16" s="297"/>
      <c r="AH16" s="56"/>
      <c r="AI16" s="70"/>
      <c r="AJ16" s="56"/>
      <c r="AK16" s="53"/>
      <c r="AL16" s="395" t="s">
        <v>163</v>
      </c>
      <c r="AM16" s="396" t="s">
        <v>371</v>
      </c>
      <c r="AN16" s="397"/>
    </row>
    <row r="17" spans="2:40">
      <c r="B17" s="53"/>
      <c r="C17" s="399"/>
      <c r="D17" s="400"/>
      <c r="E17" s="56"/>
      <c r="F17" s="56"/>
      <c r="G17" s="171"/>
      <c r="H17" s="458"/>
      <c r="I17" s="80"/>
      <c r="J17" s="318"/>
      <c r="K17" s="53"/>
      <c r="L17" s="71"/>
      <c r="M17" s="56"/>
      <c r="N17" s="71"/>
      <c r="O17" s="56"/>
      <c r="P17" s="56"/>
      <c r="Q17" s="75"/>
      <c r="R17" s="56"/>
      <c r="S17" s="75"/>
      <c r="T17" s="71"/>
      <c r="U17" s="56"/>
      <c r="V17" s="56"/>
      <c r="W17" s="259"/>
      <c r="X17" s="75">
        <v>7.5</v>
      </c>
      <c r="Y17" s="171"/>
      <c r="Z17" s="71"/>
      <c r="AA17" s="53"/>
      <c r="AB17" s="56"/>
      <c r="AC17" s="75"/>
      <c r="AD17" s="71"/>
      <c r="AE17" s="53"/>
      <c r="AF17" s="56"/>
      <c r="AG17" s="297"/>
      <c r="AH17" s="56"/>
      <c r="AI17" s="70"/>
      <c r="AJ17" s="56"/>
      <c r="AK17" s="53"/>
      <c r="AL17" s="395" t="s">
        <v>224</v>
      </c>
      <c r="AM17" s="396" t="s">
        <v>225</v>
      </c>
      <c r="AN17" s="397"/>
    </row>
    <row r="18" spans="2:40" ht="17.100000000000001" thickBot="1">
      <c r="B18" s="53"/>
      <c r="C18" s="401" t="s">
        <v>227</v>
      </c>
      <c r="D18" s="402">
        <f>SUM(D12:D17)</f>
        <v>0</v>
      </c>
      <c r="E18" s="458"/>
      <c r="F18" s="458"/>
      <c r="G18" s="311"/>
      <c r="H18" s="77"/>
      <c r="I18" s="76"/>
      <c r="J18" s="280"/>
      <c r="K18" s="53"/>
      <c r="L18" s="71"/>
      <c r="M18" s="56"/>
      <c r="N18" s="71"/>
      <c r="O18" s="56"/>
      <c r="P18" s="56"/>
      <c r="Q18" s="75"/>
      <c r="R18" s="56"/>
      <c r="S18" s="75"/>
      <c r="T18" s="71"/>
      <c r="U18" s="56"/>
      <c r="V18" s="56"/>
      <c r="W18" s="259"/>
      <c r="X18" s="75">
        <v>13.27</v>
      </c>
      <c r="Y18" s="171"/>
      <c r="Z18" s="71"/>
      <c r="AA18" s="53"/>
      <c r="AB18" s="56"/>
      <c r="AC18" s="75"/>
      <c r="AD18" s="71"/>
      <c r="AE18" s="53"/>
      <c r="AF18" s="76"/>
      <c r="AG18" s="298"/>
      <c r="AH18" s="76"/>
      <c r="AI18" s="81"/>
      <c r="AJ18" s="76"/>
      <c r="AK18" s="53"/>
      <c r="AL18" s="403" t="s">
        <v>341</v>
      </c>
      <c r="AM18" s="404" t="s">
        <v>372</v>
      </c>
      <c r="AN18" s="405"/>
    </row>
    <row r="19" spans="2:40">
      <c r="B19" s="53"/>
      <c r="C19" s="53"/>
      <c r="D19" s="53"/>
      <c r="E19" s="77"/>
      <c r="F19" s="77"/>
      <c r="G19" s="312"/>
      <c r="H19" s="77"/>
      <c r="I19" s="76"/>
      <c r="J19" s="280"/>
      <c r="K19" s="53"/>
      <c r="L19" s="71"/>
      <c r="M19" s="56"/>
      <c r="N19" s="71"/>
      <c r="O19" s="56"/>
      <c r="P19" s="56"/>
      <c r="Q19" s="75"/>
      <c r="R19" s="56"/>
      <c r="S19" s="75"/>
      <c r="T19" s="71"/>
      <c r="U19" s="56"/>
      <c r="V19" s="56"/>
      <c r="W19" s="259"/>
      <c r="X19" s="75"/>
      <c r="Y19" s="171"/>
      <c r="Z19" s="71"/>
      <c r="AA19" s="53"/>
      <c r="AB19" s="56"/>
      <c r="AC19" s="75"/>
      <c r="AD19" s="71"/>
      <c r="AE19" s="53"/>
      <c r="AF19" s="56"/>
      <c r="AG19" s="297"/>
      <c r="AH19" s="56"/>
      <c r="AI19" s="70"/>
      <c r="AJ19" s="56"/>
      <c r="AK19" s="53"/>
      <c r="AL19" s="53"/>
      <c r="AM19" s="53"/>
      <c r="AN19" s="53"/>
    </row>
    <row r="20" spans="2:40">
      <c r="B20" s="53"/>
      <c r="C20" s="53"/>
      <c r="D20" s="53"/>
      <c r="E20" s="77"/>
      <c r="F20" s="77"/>
      <c r="G20" s="312"/>
      <c r="H20" s="77"/>
      <c r="I20" s="76"/>
      <c r="J20" s="280"/>
      <c r="K20" s="53"/>
      <c r="L20" s="71"/>
      <c r="M20" s="56"/>
      <c r="N20" s="71"/>
      <c r="O20" s="56"/>
      <c r="P20" s="56"/>
      <c r="Q20" s="75"/>
      <c r="R20" s="56"/>
      <c r="S20" s="75"/>
      <c r="T20" s="71"/>
      <c r="U20" s="56"/>
      <c r="V20" s="56"/>
      <c r="W20" s="259"/>
      <c r="X20" s="75"/>
      <c r="Y20" s="171"/>
      <c r="Z20" s="71"/>
      <c r="AA20" s="53"/>
      <c r="AB20" s="56"/>
      <c r="AC20" s="75"/>
      <c r="AD20" s="71"/>
      <c r="AE20" s="53"/>
      <c r="AF20" s="56"/>
      <c r="AG20" s="297"/>
      <c r="AH20" s="56"/>
      <c r="AI20" s="70"/>
      <c r="AJ20" s="56"/>
      <c r="AK20" s="53"/>
      <c r="AL20" s="53"/>
      <c r="AM20" s="53"/>
      <c r="AN20" s="53"/>
    </row>
    <row r="21" spans="2:40">
      <c r="B21" s="53"/>
      <c r="C21" s="53"/>
      <c r="D21" s="53"/>
      <c r="E21" s="77"/>
      <c r="F21" s="77"/>
      <c r="G21" s="312"/>
      <c r="H21" s="77"/>
      <c r="I21" s="76"/>
      <c r="J21" s="280"/>
      <c r="K21" s="53"/>
      <c r="L21" s="71"/>
      <c r="M21" s="56"/>
      <c r="N21" s="71"/>
      <c r="O21" s="56"/>
      <c r="P21" s="56"/>
      <c r="Q21" s="75"/>
      <c r="R21" s="56"/>
      <c r="S21" s="75"/>
      <c r="T21" s="71"/>
      <c r="U21" s="56"/>
      <c r="V21" s="56"/>
      <c r="W21" s="259"/>
      <c r="X21" s="75"/>
      <c r="Y21" s="171"/>
      <c r="Z21" s="71"/>
      <c r="AA21" s="53"/>
      <c r="AB21" s="56"/>
      <c r="AC21" s="75"/>
      <c r="AD21" s="71"/>
      <c r="AE21" s="53"/>
      <c r="AF21" s="56"/>
      <c r="AG21" s="297"/>
      <c r="AH21" s="56"/>
      <c r="AI21" s="70"/>
      <c r="AJ21" s="56"/>
      <c r="AK21" s="53"/>
      <c r="AL21" s="53"/>
      <c r="AM21" s="53"/>
      <c r="AN21" s="53"/>
    </row>
    <row r="22" spans="2:40">
      <c r="B22" s="53"/>
      <c r="C22" s="53"/>
      <c r="D22" s="53"/>
      <c r="E22" s="77"/>
      <c r="F22" s="77"/>
      <c r="G22" s="312"/>
      <c r="H22" s="53"/>
      <c r="I22" s="74"/>
      <c r="J22" s="319"/>
      <c r="K22" s="53"/>
      <c r="L22" s="71"/>
      <c r="M22" s="56"/>
      <c r="N22" s="71"/>
      <c r="O22" s="56"/>
      <c r="P22" s="56"/>
      <c r="Q22" s="75"/>
      <c r="R22" s="56"/>
      <c r="S22" s="75"/>
      <c r="T22" s="71"/>
      <c r="U22" s="56"/>
      <c r="V22" s="56"/>
      <c r="W22" s="259"/>
      <c r="X22" s="75"/>
      <c r="Y22" s="171"/>
      <c r="Z22" s="71"/>
      <c r="AA22" s="53"/>
      <c r="AB22" s="56"/>
      <c r="AC22" s="75"/>
      <c r="AD22" s="71"/>
      <c r="AE22" s="53"/>
      <c r="AF22" s="56"/>
      <c r="AG22" s="297"/>
      <c r="AH22" s="56"/>
      <c r="AI22" s="70"/>
      <c r="AJ22" s="56"/>
      <c r="AK22" s="53"/>
      <c r="AL22" s="53"/>
      <c r="AM22" s="53"/>
      <c r="AN22" s="406"/>
    </row>
    <row r="23" spans="2:40">
      <c r="B23" s="53"/>
      <c r="C23" s="53"/>
      <c r="D23" s="53"/>
      <c r="E23" s="77"/>
      <c r="F23" s="77"/>
      <c r="G23" s="312"/>
      <c r="H23" s="53"/>
      <c r="I23" s="74"/>
      <c r="J23" s="319"/>
      <c r="K23" s="53"/>
      <c r="L23" s="71"/>
      <c r="M23" s="56"/>
      <c r="N23" s="71"/>
      <c r="O23" s="56"/>
      <c r="P23" s="56"/>
      <c r="Q23" s="75"/>
      <c r="R23" s="56"/>
      <c r="S23" s="75"/>
      <c r="T23" s="71"/>
      <c r="U23" s="56"/>
      <c r="V23" s="56"/>
      <c r="W23" s="259"/>
      <c r="X23" s="75"/>
      <c r="Y23" s="171"/>
      <c r="Z23" s="71"/>
      <c r="AA23" s="53"/>
      <c r="AB23" s="56"/>
      <c r="AC23" s="75"/>
      <c r="AD23" s="71"/>
      <c r="AE23" s="53"/>
      <c r="AF23" s="56"/>
      <c r="AG23" s="297"/>
      <c r="AH23" s="56"/>
      <c r="AI23" s="70"/>
      <c r="AJ23" s="56"/>
      <c r="AK23" s="53"/>
      <c r="AL23" s="53"/>
      <c r="AM23" s="53"/>
      <c r="AN23" s="406"/>
    </row>
    <row r="24" spans="2:40">
      <c r="B24" s="53"/>
      <c r="C24" s="53"/>
      <c r="D24" s="53"/>
      <c r="E24" s="77"/>
      <c r="F24" s="77"/>
      <c r="G24" s="312"/>
      <c r="H24" s="53"/>
      <c r="I24" s="74"/>
      <c r="J24" s="319"/>
      <c r="K24" s="53"/>
      <c r="L24" s="71"/>
      <c r="M24" s="56"/>
      <c r="N24" s="71"/>
      <c r="O24" s="56"/>
      <c r="P24" s="56"/>
      <c r="Q24" s="75"/>
      <c r="R24" s="56"/>
      <c r="S24" s="75"/>
      <c r="T24" s="71"/>
      <c r="U24" s="56"/>
      <c r="V24" s="56"/>
      <c r="W24" s="259"/>
      <c r="X24" s="75"/>
      <c r="Y24" s="171"/>
      <c r="Z24" s="71"/>
      <c r="AA24" s="53"/>
      <c r="AB24" s="56"/>
      <c r="AC24" s="75"/>
      <c r="AD24" s="71"/>
      <c r="AE24" s="53"/>
      <c r="AF24" s="56"/>
      <c r="AG24" s="297"/>
      <c r="AH24" s="56"/>
      <c r="AI24" s="70"/>
      <c r="AJ24" s="56"/>
      <c r="AK24" s="53"/>
      <c r="AL24" s="53"/>
      <c r="AM24" s="53"/>
      <c r="AN24" s="406"/>
    </row>
    <row r="25" spans="2:40">
      <c r="B25" s="53"/>
      <c r="C25" s="53"/>
      <c r="D25" s="53"/>
      <c r="E25" s="53"/>
      <c r="F25" s="53"/>
      <c r="G25" s="166"/>
      <c r="H25" s="53"/>
      <c r="I25" s="74"/>
      <c r="J25" s="319"/>
      <c r="K25" s="53"/>
      <c r="L25" s="71"/>
      <c r="M25" s="56"/>
      <c r="N25" s="71"/>
      <c r="O25" s="56"/>
      <c r="P25" s="56"/>
      <c r="Q25" s="75"/>
      <c r="R25" s="56"/>
      <c r="S25" s="75"/>
      <c r="T25" s="71"/>
      <c r="U25" s="56"/>
      <c r="V25" s="56"/>
      <c r="W25" s="259"/>
      <c r="X25" s="75"/>
      <c r="Y25" s="171"/>
      <c r="Z25" s="71"/>
      <c r="AA25" s="53"/>
      <c r="AB25" s="56"/>
      <c r="AC25" s="75"/>
      <c r="AD25" s="71"/>
      <c r="AE25" s="53"/>
      <c r="AF25" s="56"/>
      <c r="AG25" s="297"/>
      <c r="AH25" s="56"/>
      <c r="AI25" s="70"/>
      <c r="AJ25" s="56"/>
      <c r="AK25" s="53"/>
      <c r="AL25" s="53"/>
      <c r="AM25" s="53"/>
      <c r="AN25" s="406"/>
    </row>
    <row r="26" spans="2:40">
      <c r="B26" s="53"/>
      <c r="C26" s="53"/>
      <c r="D26" s="53"/>
      <c r="E26" s="53"/>
      <c r="F26" s="53"/>
      <c r="G26" s="166"/>
      <c r="H26" s="53" t="s">
        <v>227</v>
      </c>
      <c r="I26" s="62">
        <f>SUM(I7:I25)</f>
        <v>1939.99</v>
      </c>
      <c r="J26" s="317"/>
      <c r="K26" s="53"/>
      <c r="L26" s="71"/>
      <c r="M26" s="56"/>
      <c r="N26" s="71"/>
      <c r="O26" s="56"/>
      <c r="P26" s="56"/>
      <c r="Q26" s="75"/>
      <c r="R26" s="56"/>
      <c r="S26" s="75"/>
      <c r="T26" s="71"/>
      <c r="U26" s="56"/>
      <c r="V26" s="56"/>
      <c r="W26" s="259"/>
      <c r="X26" s="75"/>
      <c r="Y26" s="171"/>
      <c r="Z26" s="71"/>
      <c r="AA26" s="53"/>
      <c r="AB26" s="56"/>
      <c r="AC26" s="75"/>
      <c r="AD26" s="71"/>
      <c r="AE26" s="53"/>
      <c r="AF26" s="56"/>
      <c r="AG26" s="297"/>
      <c r="AH26" s="56"/>
      <c r="AI26" s="70"/>
      <c r="AJ26" s="56"/>
      <c r="AK26" s="53"/>
      <c r="AL26" s="53"/>
      <c r="AM26" s="53"/>
      <c r="AN26" s="406"/>
    </row>
    <row r="27" spans="2:40">
      <c r="B27" s="53"/>
      <c r="C27" s="53"/>
      <c r="D27" s="53"/>
      <c r="E27" s="53"/>
      <c r="F27" s="53"/>
      <c r="G27" s="166"/>
      <c r="H27" s="53" t="s">
        <v>16</v>
      </c>
      <c r="I27" s="62">
        <v>0</v>
      </c>
      <c r="J27" s="317"/>
      <c r="K27" s="53"/>
      <c r="L27" s="71"/>
      <c r="M27" s="56"/>
      <c r="N27" s="71"/>
      <c r="O27" s="56"/>
      <c r="P27" s="56"/>
      <c r="Q27" s="75"/>
      <c r="R27" s="56"/>
      <c r="S27" s="75"/>
      <c r="T27" s="71"/>
      <c r="U27" s="56"/>
      <c r="V27" s="56"/>
      <c r="W27" s="259"/>
      <c r="X27" s="75"/>
      <c r="Y27" s="171"/>
      <c r="Z27" s="71"/>
      <c r="AA27" s="53"/>
      <c r="AB27" s="56"/>
      <c r="AC27" s="75"/>
      <c r="AD27" s="71"/>
      <c r="AE27" s="53"/>
      <c r="AF27" s="56"/>
      <c r="AG27" s="297"/>
      <c r="AH27" s="56"/>
      <c r="AI27" s="70"/>
      <c r="AJ27" s="56"/>
      <c r="AK27" s="53"/>
      <c r="AL27" s="53"/>
      <c r="AM27" s="53"/>
      <c r="AN27" s="406"/>
    </row>
    <row r="28" spans="2:40">
      <c r="B28" s="53"/>
      <c r="C28" s="53"/>
      <c r="D28" s="53"/>
      <c r="E28" s="53"/>
      <c r="F28" s="53"/>
      <c r="G28" s="166"/>
      <c r="H28" s="53" t="s">
        <v>373</v>
      </c>
      <c r="I28" s="62">
        <v>0</v>
      </c>
      <c r="J28" s="317"/>
      <c r="K28" s="53"/>
      <c r="L28" s="71"/>
      <c r="M28" s="56"/>
      <c r="N28" s="71"/>
      <c r="O28" s="56"/>
      <c r="P28" s="56"/>
      <c r="Q28" s="75"/>
      <c r="R28" s="56"/>
      <c r="S28" s="75"/>
      <c r="T28" s="71"/>
      <c r="U28" s="56"/>
      <c r="V28" s="56"/>
      <c r="W28" s="259"/>
      <c r="X28" s="75"/>
      <c r="Y28" s="171"/>
      <c r="Z28" s="71"/>
      <c r="AA28" s="53"/>
      <c r="AB28" s="56"/>
      <c r="AC28" s="75"/>
      <c r="AD28" s="71"/>
      <c r="AE28" s="53"/>
      <c r="AF28" s="56"/>
      <c r="AG28" s="297"/>
      <c r="AH28" s="56"/>
      <c r="AI28" s="70"/>
      <c r="AJ28" s="56"/>
      <c r="AK28" s="53"/>
      <c r="AL28" s="53"/>
      <c r="AM28" s="53"/>
      <c r="AN28" s="53"/>
    </row>
    <row r="29" spans="2:40">
      <c r="B29" s="53"/>
      <c r="C29" s="53"/>
      <c r="D29" s="53"/>
      <c r="E29" s="53"/>
      <c r="F29" s="53"/>
      <c r="G29" s="166"/>
      <c r="H29" s="53"/>
      <c r="I29" s="62"/>
      <c r="J29" s="317"/>
      <c r="K29" s="53"/>
      <c r="L29" s="71"/>
      <c r="M29" s="56"/>
      <c r="N29" s="71"/>
      <c r="O29" s="56"/>
      <c r="P29" s="56"/>
      <c r="Q29" s="75"/>
      <c r="R29" s="56"/>
      <c r="S29" s="75"/>
      <c r="T29" s="71"/>
      <c r="U29" s="56"/>
      <c r="V29" s="56"/>
      <c r="W29" s="259"/>
      <c r="X29" s="75"/>
      <c r="Y29" s="171"/>
      <c r="Z29" s="71"/>
      <c r="AA29" s="53"/>
      <c r="AB29" s="56"/>
      <c r="AC29" s="75"/>
      <c r="AD29" s="71"/>
      <c r="AE29" s="53"/>
      <c r="AF29" s="56"/>
      <c r="AG29" s="297"/>
      <c r="AH29" s="56"/>
      <c r="AI29" s="70"/>
      <c r="AJ29" s="56"/>
      <c r="AK29" s="53"/>
      <c r="AL29" s="53"/>
      <c r="AM29" s="53"/>
      <c r="AN29" s="53"/>
    </row>
    <row r="30" spans="2:40">
      <c r="B30" s="53"/>
      <c r="C30" s="53"/>
      <c r="D30" s="56"/>
      <c r="E30" s="53"/>
      <c r="F30" s="53"/>
      <c r="G30" s="736" t="s">
        <v>229</v>
      </c>
      <c r="H30" s="737"/>
      <c r="I30" s="407">
        <f>I26-I27-I28</f>
        <v>1939.99</v>
      </c>
      <c r="J30" s="738">
        <f>SUM(L7:L29)</f>
        <v>562</v>
      </c>
      <c r="K30" s="739"/>
      <c r="L30" s="740"/>
      <c r="M30" s="725">
        <f>SUM(N7:N29)</f>
        <v>0</v>
      </c>
      <c r="N30" s="740"/>
      <c r="O30" s="725">
        <f>SUM(P7:P29)</f>
        <v>0</v>
      </c>
      <c r="P30" s="726"/>
      <c r="Q30" s="741">
        <f>SUM(R7:R29)</f>
        <v>21.64</v>
      </c>
      <c r="R30" s="740"/>
      <c r="S30" s="725">
        <f>SUM(T7:T29)</f>
        <v>98.98</v>
      </c>
      <c r="T30" s="740"/>
      <c r="U30" s="725">
        <f>SUM(V7:V29)</f>
        <v>42.49</v>
      </c>
      <c r="V30" s="726"/>
      <c r="W30" s="408">
        <f>SUM(W7:W29)</f>
        <v>0</v>
      </c>
      <c r="X30" s="409">
        <f>SUM(X7:X29)</f>
        <v>152.91000000000003</v>
      </c>
      <c r="Y30" s="727">
        <f>SUM(Z7:Z29)</f>
        <v>93.07</v>
      </c>
      <c r="Z30" s="731"/>
      <c r="AA30" s="732">
        <f>SUM(AB7:AB29)</f>
        <v>34.9</v>
      </c>
      <c r="AB30" s="728"/>
      <c r="AC30" s="730">
        <f>SUM(AD7:AD29)</f>
        <v>0</v>
      </c>
      <c r="AD30" s="731"/>
      <c r="AE30" s="732">
        <f>SUM(AF7:AF29)</f>
        <v>142.20000000000002</v>
      </c>
      <c r="AF30" s="733"/>
      <c r="AG30" s="410">
        <f>SUM(AG7:AG29)</f>
        <v>18.040000000000003</v>
      </c>
      <c r="AH30" s="734">
        <f>SUM(AI7:AI29)</f>
        <v>330.99</v>
      </c>
      <c r="AI30" s="735"/>
      <c r="AJ30" s="56"/>
      <c r="AK30" s="53"/>
      <c r="AL30" s="53"/>
      <c r="AM30" s="53"/>
      <c r="AN30" s="53"/>
    </row>
    <row r="31" spans="2:40" ht="17.100000000000001" thickBot="1">
      <c r="B31" s="53"/>
      <c r="C31" s="53"/>
      <c r="D31" s="53"/>
      <c r="E31" s="53"/>
      <c r="F31" s="53"/>
      <c r="G31" s="714" t="s">
        <v>470</v>
      </c>
      <c r="H31" s="715"/>
      <c r="I31" s="411">
        <f>I30-J32</f>
        <v>442.77</v>
      </c>
      <c r="J31" s="716">
        <f>SUM(J30:X30)</f>
        <v>878.02</v>
      </c>
      <c r="K31" s="717"/>
      <c r="L31" s="717"/>
      <c r="M31" s="717"/>
      <c r="N31" s="717"/>
      <c r="O31" s="717"/>
      <c r="P31" s="717"/>
      <c r="Q31" s="717"/>
      <c r="R31" s="717"/>
      <c r="S31" s="717"/>
      <c r="T31" s="717"/>
      <c r="U31" s="717"/>
      <c r="V31" s="717"/>
      <c r="W31" s="717"/>
      <c r="X31" s="718"/>
      <c r="Y31" s="719">
        <f>SUM(Y30:AI30)</f>
        <v>619.20000000000005</v>
      </c>
      <c r="Z31" s="720"/>
      <c r="AA31" s="720"/>
      <c r="AB31" s="720"/>
      <c r="AC31" s="720"/>
      <c r="AD31" s="720"/>
      <c r="AE31" s="720"/>
      <c r="AF31" s="720"/>
      <c r="AG31" s="720"/>
      <c r="AH31" s="720"/>
      <c r="AI31" s="721"/>
      <c r="AJ31" s="56"/>
      <c r="AK31" s="53"/>
      <c r="AL31" s="56"/>
      <c r="AM31" s="53"/>
      <c r="AN31" s="53"/>
    </row>
    <row r="32" spans="2:40" ht="21" thickTop="1" thickBot="1">
      <c r="B32" s="53"/>
      <c r="C32" s="53"/>
      <c r="D32" s="53"/>
      <c r="E32" s="53"/>
      <c r="F32" s="53"/>
      <c r="G32" s="53"/>
      <c r="H32" s="56"/>
      <c r="I32" s="62"/>
      <c r="J32" s="722">
        <f>SUM(J31:AI31)</f>
        <v>1497.22</v>
      </c>
      <c r="K32" s="723"/>
      <c r="L32" s="723"/>
      <c r="M32" s="723"/>
      <c r="N32" s="723"/>
      <c r="O32" s="723"/>
      <c r="P32" s="723"/>
      <c r="Q32" s="723"/>
      <c r="R32" s="723"/>
      <c r="S32" s="723"/>
      <c r="T32" s="723"/>
      <c r="U32" s="723"/>
      <c r="V32" s="723"/>
      <c r="W32" s="723"/>
      <c r="X32" s="723"/>
      <c r="Y32" s="723"/>
      <c r="Z32" s="723"/>
      <c r="AA32" s="723"/>
      <c r="AB32" s="723"/>
      <c r="AC32" s="723"/>
      <c r="AD32" s="723"/>
      <c r="AE32" s="723"/>
      <c r="AF32" s="723"/>
      <c r="AG32" s="723"/>
      <c r="AH32" s="723"/>
      <c r="AI32" s="724"/>
      <c r="AJ32" s="56"/>
      <c r="AK32" s="53"/>
      <c r="AL32" s="53"/>
      <c r="AM32" s="53"/>
      <c r="AN32" s="53"/>
    </row>
    <row r="33" spans="2:40"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</row>
    <row r="34" spans="2:40"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</row>
    <row r="35" spans="2:40"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</row>
    <row r="36" spans="2:40"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</row>
    <row r="37" spans="2:40">
      <c r="B37" s="53"/>
      <c r="C37" s="53"/>
      <c r="D37" s="53"/>
      <c r="E37" s="53"/>
      <c r="F37" s="53"/>
      <c r="G37" s="412">
        <v>1230</v>
      </c>
      <c r="H37" s="412" t="s">
        <v>616</v>
      </c>
      <c r="I37" s="412"/>
      <c r="J37" s="412"/>
      <c r="K37" s="412"/>
      <c r="L37" s="412"/>
      <c r="M37" s="412"/>
      <c r="N37" s="412"/>
      <c r="O37" s="56"/>
      <c r="P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</row>
    <row r="38" spans="2:40">
      <c r="B38" s="53"/>
      <c r="C38" s="53"/>
      <c r="D38" s="53"/>
      <c r="E38" s="53"/>
      <c r="F38" s="53"/>
      <c r="G38" s="56"/>
      <c r="H38" s="53"/>
      <c r="I38" s="53"/>
      <c r="J38" s="53"/>
      <c r="K38" s="53"/>
      <c r="L38" s="53"/>
      <c r="M38" s="53"/>
      <c r="N38" s="53"/>
      <c r="O38" s="53"/>
      <c r="P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</row>
  </sheetData>
  <mergeCells count="32">
    <mergeCell ref="C11:D11"/>
    <mergeCell ref="C4:D4"/>
    <mergeCell ref="G4:AI4"/>
    <mergeCell ref="AL4:AN4"/>
    <mergeCell ref="G5:I5"/>
    <mergeCell ref="J5:L5"/>
    <mergeCell ref="M5:N5"/>
    <mergeCell ref="O5:P5"/>
    <mergeCell ref="Q5:R5"/>
    <mergeCell ref="S5:T5"/>
    <mergeCell ref="U5:V5"/>
    <mergeCell ref="Y5:Z5"/>
    <mergeCell ref="AA5:AB5"/>
    <mergeCell ref="AC5:AD5"/>
    <mergeCell ref="AE5:AF5"/>
    <mergeCell ref="AH5:AI5"/>
    <mergeCell ref="G31:H31"/>
    <mergeCell ref="J31:X31"/>
    <mergeCell ref="Y31:AI31"/>
    <mergeCell ref="J32:AI32"/>
    <mergeCell ref="U30:V30"/>
    <mergeCell ref="Y30:Z30"/>
    <mergeCell ref="AA30:AB30"/>
    <mergeCell ref="AC30:AD30"/>
    <mergeCell ref="AE30:AF30"/>
    <mergeCell ref="AH30:AI30"/>
    <mergeCell ref="G30:H30"/>
    <mergeCell ref="J30:L30"/>
    <mergeCell ref="M30:N30"/>
    <mergeCell ref="O30:P30"/>
    <mergeCell ref="Q30:R30"/>
    <mergeCell ref="S30:T3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F1DF-D4B0-B843-81C2-588792E5D549}">
  <sheetPr>
    <tabColor theme="9" tint="0.59999389629810485"/>
  </sheetPr>
  <dimension ref="D3:AP40"/>
  <sheetViews>
    <sheetView topLeftCell="X5" zoomScale="82" zoomScaleNormal="73" workbookViewId="0">
      <selection activeCell="M20" sqref="M20"/>
    </sheetView>
  </sheetViews>
  <sheetFormatPr defaultColWidth="11" defaultRowHeight="15.95"/>
  <cols>
    <col min="5" max="5" width="20.375" customWidth="1"/>
    <col min="10" max="10" width="17.5" customWidth="1"/>
    <col min="13" max="13" width="19.375" customWidth="1"/>
    <col min="15" max="15" width="12.875" customWidth="1"/>
    <col min="16" max="16" width="14.875" customWidth="1"/>
    <col min="17" max="17" width="20" customWidth="1"/>
    <col min="18" max="18" width="15.625" customWidth="1"/>
    <col min="26" max="26" width="13.625" customWidth="1"/>
    <col min="27" max="27" width="13.375" customWidth="1"/>
    <col min="28" max="28" width="13.5" customWidth="1"/>
    <col min="29" max="29" width="20.625" customWidth="1"/>
    <col min="33" max="33" width="19.5" customWidth="1"/>
    <col min="35" max="35" width="9.875" customWidth="1"/>
    <col min="36" max="36" width="21.625" customWidth="1"/>
    <col min="40" max="40" width="26.125" customWidth="1"/>
    <col min="42" max="42" width="56.375" customWidth="1"/>
  </cols>
  <sheetData>
    <row r="3" spans="4:42" ht="17.100000000000001" thickBot="1"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</row>
    <row r="4" spans="4:42" ht="21.95" thickBot="1">
      <c r="D4" s="53"/>
      <c r="E4" s="484" t="s">
        <v>0</v>
      </c>
      <c r="F4" s="744"/>
      <c r="G4" s="456"/>
      <c r="H4" s="456"/>
      <c r="I4" s="745" t="s">
        <v>664</v>
      </c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746"/>
      <c r="X4" s="746"/>
      <c r="Y4" s="746"/>
      <c r="Z4" s="746"/>
      <c r="AA4" s="746"/>
      <c r="AB4" s="746"/>
      <c r="AC4" s="746"/>
      <c r="AD4" s="746"/>
      <c r="AE4" s="746"/>
      <c r="AF4" s="746"/>
      <c r="AG4" s="746"/>
      <c r="AH4" s="746"/>
      <c r="AI4" s="746"/>
      <c r="AJ4" s="746"/>
      <c r="AK4" s="747"/>
      <c r="AL4" s="459"/>
      <c r="AM4" s="53"/>
      <c r="AN4" s="748" t="s">
        <v>333</v>
      </c>
      <c r="AO4" s="749"/>
      <c r="AP4" s="750"/>
    </row>
    <row r="5" spans="4:42">
      <c r="D5" s="53"/>
      <c r="E5" s="380" t="s">
        <v>1</v>
      </c>
      <c r="F5" s="381">
        <f>L31</f>
        <v>961.84</v>
      </c>
      <c r="G5" s="458"/>
      <c r="H5" s="458"/>
      <c r="I5" s="751" t="s">
        <v>460</v>
      </c>
      <c r="J5" s="752"/>
      <c r="K5" s="753"/>
      <c r="L5" s="754" t="s">
        <v>334</v>
      </c>
      <c r="M5" s="755"/>
      <c r="N5" s="756"/>
      <c r="O5" s="757" t="s">
        <v>335</v>
      </c>
      <c r="P5" s="756"/>
      <c r="Q5" s="757" t="s">
        <v>336</v>
      </c>
      <c r="R5" s="758"/>
      <c r="S5" s="759" t="s">
        <v>337</v>
      </c>
      <c r="T5" s="756"/>
      <c r="U5" s="757" t="s">
        <v>461</v>
      </c>
      <c r="V5" s="756"/>
      <c r="W5" s="757" t="s">
        <v>339</v>
      </c>
      <c r="X5" s="758"/>
      <c r="Y5" s="383" t="s">
        <v>340</v>
      </c>
      <c r="Z5" s="382" t="s">
        <v>9</v>
      </c>
      <c r="AA5" s="760" t="s">
        <v>159</v>
      </c>
      <c r="AB5" s="761"/>
      <c r="AC5" s="762" t="s">
        <v>11</v>
      </c>
      <c r="AD5" s="761"/>
      <c r="AE5" s="762" t="s">
        <v>162</v>
      </c>
      <c r="AF5" s="761"/>
      <c r="AG5" s="762" t="s">
        <v>163</v>
      </c>
      <c r="AH5" s="763"/>
      <c r="AI5" s="384" t="s">
        <v>224</v>
      </c>
      <c r="AJ5" s="764" t="s">
        <v>341</v>
      </c>
      <c r="AK5" s="765"/>
      <c r="AL5" s="458"/>
      <c r="AM5" s="53"/>
      <c r="AN5" s="385" t="s">
        <v>334</v>
      </c>
      <c r="AO5" s="386" t="s">
        <v>342</v>
      </c>
      <c r="AP5" s="387"/>
    </row>
    <row r="6" spans="4:42">
      <c r="D6" s="53"/>
      <c r="E6" s="388" t="s">
        <v>154</v>
      </c>
      <c r="F6" s="389">
        <f>AA31</f>
        <v>644.79</v>
      </c>
      <c r="G6" s="56"/>
      <c r="H6" s="56"/>
      <c r="I6" s="171" t="s">
        <v>462</v>
      </c>
      <c r="J6" s="457" t="s">
        <v>6</v>
      </c>
      <c r="K6" s="58" t="s">
        <v>7</v>
      </c>
      <c r="L6" s="316" t="s">
        <v>462</v>
      </c>
      <c r="M6" s="64" t="s">
        <v>166</v>
      </c>
      <c r="N6" s="67" t="s">
        <v>7</v>
      </c>
      <c r="O6" s="64" t="s">
        <v>166</v>
      </c>
      <c r="P6" s="67" t="s">
        <v>7</v>
      </c>
      <c r="Q6" s="64" t="s">
        <v>166</v>
      </c>
      <c r="R6" s="64" t="s">
        <v>7</v>
      </c>
      <c r="S6" s="87" t="s">
        <v>166</v>
      </c>
      <c r="T6" s="64" t="s">
        <v>7</v>
      </c>
      <c r="U6" s="87" t="s">
        <v>166</v>
      </c>
      <c r="V6" s="64" t="s">
        <v>7</v>
      </c>
      <c r="W6" s="87" t="s">
        <v>166</v>
      </c>
      <c r="X6" s="64" t="s">
        <v>7</v>
      </c>
      <c r="Y6" s="390" t="s">
        <v>7</v>
      </c>
      <c r="Z6" s="391" t="s">
        <v>7</v>
      </c>
      <c r="AA6" s="446" t="s">
        <v>166</v>
      </c>
      <c r="AB6" s="67" t="s">
        <v>7</v>
      </c>
      <c r="AC6" s="64" t="s">
        <v>166</v>
      </c>
      <c r="AD6" s="64" t="s">
        <v>7</v>
      </c>
      <c r="AE6" s="87" t="s">
        <v>166</v>
      </c>
      <c r="AF6" s="67" t="s">
        <v>7</v>
      </c>
      <c r="AG6" s="64" t="s">
        <v>166</v>
      </c>
      <c r="AH6" s="64" t="s">
        <v>7</v>
      </c>
      <c r="AI6" s="296" t="s">
        <v>7</v>
      </c>
      <c r="AJ6" s="64" t="s">
        <v>166</v>
      </c>
      <c r="AK6" s="447" t="s">
        <v>7</v>
      </c>
      <c r="AL6" s="460"/>
      <c r="AM6" s="53"/>
      <c r="AN6" s="385" t="s">
        <v>335</v>
      </c>
      <c r="AO6" s="386" t="s">
        <v>343</v>
      </c>
      <c r="AP6" s="387"/>
    </row>
    <row r="7" spans="4:42">
      <c r="D7" s="53"/>
      <c r="E7" s="293" t="s">
        <v>227</v>
      </c>
      <c r="F7" s="290">
        <f>F5+F6</f>
        <v>1606.63</v>
      </c>
      <c r="G7" s="56"/>
      <c r="H7" s="56"/>
      <c r="I7" s="171"/>
      <c r="J7" s="56" t="s">
        <v>175</v>
      </c>
      <c r="K7" s="62">
        <v>442.77</v>
      </c>
      <c r="L7" s="317" t="s">
        <v>665</v>
      </c>
      <c r="M7" s="53" t="s">
        <v>464</v>
      </c>
      <c r="N7" s="71">
        <v>500</v>
      </c>
      <c r="O7" s="56"/>
      <c r="P7" s="71"/>
      <c r="Q7" s="53" t="s">
        <v>666</v>
      </c>
      <c r="R7" s="71">
        <v>12</v>
      </c>
      <c r="S7" s="53" t="s">
        <v>183</v>
      </c>
      <c r="T7" s="71">
        <v>20</v>
      </c>
      <c r="U7" s="53" t="s">
        <v>637</v>
      </c>
      <c r="V7" s="71">
        <v>40.049999999999997</v>
      </c>
      <c r="W7" s="56"/>
      <c r="X7" s="56"/>
      <c r="Y7" s="259"/>
      <c r="Z7" s="75">
        <v>11.66</v>
      </c>
      <c r="AA7" s="171"/>
      <c r="AB7" s="71"/>
      <c r="AC7" s="53" t="s">
        <v>667</v>
      </c>
      <c r="AD7" s="71">
        <v>10.23</v>
      </c>
      <c r="AE7" s="53"/>
      <c r="AF7" s="71"/>
      <c r="AG7" s="53" t="s">
        <v>668</v>
      </c>
      <c r="AH7" s="70">
        <v>5</v>
      </c>
      <c r="AI7" s="56">
        <v>0.5</v>
      </c>
      <c r="AJ7" s="61" t="s">
        <v>669</v>
      </c>
      <c r="AK7" s="70">
        <v>1</v>
      </c>
      <c r="AL7" s="56"/>
      <c r="AM7" s="53"/>
      <c r="AN7" s="385" t="s">
        <v>350</v>
      </c>
      <c r="AO7" s="386" t="s">
        <v>351</v>
      </c>
      <c r="AP7" s="387"/>
    </row>
    <row r="8" spans="4:42">
      <c r="D8" s="53"/>
      <c r="E8" s="294" t="s">
        <v>470</v>
      </c>
      <c r="F8" s="60">
        <f>K31</f>
        <v>1070.9499999999998</v>
      </c>
      <c r="G8" s="56"/>
      <c r="H8" s="56"/>
      <c r="I8" s="171" t="s">
        <v>665</v>
      </c>
      <c r="J8" s="56" t="s">
        <v>649</v>
      </c>
      <c r="K8" s="62">
        <v>440.5</v>
      </c>
      <c r="L8" s="317" t="s">
        <v>670</v>
      </c>
      <c r="M8" s="53" t="s">
        <v>472</v>
      </c>
      <c r="N8" s="71">
        <v>5</v>
      </c>
      <c r="O8" s="56"/>
      <c r="P8" s="71"/>
      <c r="Q8" s="53" t="s">
        <v>671</v>
      </c>
      <c r="R8" s="56">
        <v>4</v>
      </c>
      <c r="S8" s="75"/>
      <c r="T8" s="56"/>
      <c r="U8" s="75" t="s">
        <v>424</v>
      </c>
      <c r="V8" s="71">
        <v>3.8</v>
      </c>
      <c r="W8" s="56"/>
      <c r="X8" s="56"/>
      <c r="Y8" s="259"/>
      <c r="Z8" s="75">
        <v>11</v>
      </c>
      <c r="AA8" s="171" t="s">
        <v>672</v>
      </c>
      <c r="AB8" s="71">
        <v>2.5</v>
      </c>
      <c r="AC8" s="53" t="s">
        <v>673</v>
      </c>
      <c r="AD8" s="56">
        <v>4.5</v>
      </c>
      <c r="AE8" s="75"/>
      <c r="AF8" s="71"/>
      <c r="AG8" s="53"/>
      <c r="AH8" s="56"/>
      <c r="AI8" s="297">
        <v>6.78</v>
      </c>
      <c r="AJ8" s="56" t="s">
        <v>674</v>
      </c>
      <c r="AK8" s="70">
        <v>245.28</v>
      </c>
      <c r="AL8" s="56"/>
      <c r="AM8" s="53"/>
      <c r="AN8" s="385" t="s">
        <v>357</v>
      </c>
      <c r="AO8" s="386" t="s">
        <v>358</v>
      </c>
      <c r="AP8" s="387"/>
    </row>
    <row r="9" spans="4:42">
      <c r="D9" s="53"/>
      <c r="E9" s="72"/>
      <c r="F9" s="126"/>
      <c r="G9" s="56"/>
      <c r="H9" s="56"/>
      <c r="I9" s="171" t="s">
        <v>675</v>
      </c>
      <c r="J9" s="56" t="s">
        <v>656</v>
      </c>
      <c r="K9" s="62">
        <v>440.5</v>
      </c>
      <c r="L9" s="317"/>
      <c r="M9" s="53" t="s">
        <v>650</v>
      </c>
      <c r="N9" s="71">
        <v>6</v>
      </c>
      <c r="O9" s="56"/>
      <c r="P9" s="71"/>
      <c r="Q9" s="56" t="s">
        <v>676</v>
      </c>
      <c r="R9" s="56">
        <v>12.5</v>
      </c>
      <c r="S9" s="75"/>
      <c r="T9" s="56"/>
      <c r="U9" s="75" t="s">
        <v>637</v>
      </c>
      <c r="V9" s="71">
        <v>10</v>
      </c>
      <c r="W9" s="56"/>
      <c r="X9" s="56"/>
      <c r="Y9" s="259"/>
      <c r="Z9" s="75">
        <v>13.51</v>
      </c>
      <c r="AA9" s="171" t="s">
        <v>672</v>
      </c>
      <c r="AB9" s="71">
        <v>1</v>
      </c>
      <c r="AC9" s="53" t="s">
        <v>677</v>
      </c>
      <c r="AD9" s="56">
        <v>5.4</v>
      </c>
      <c r="AE9" s="75"/>
      <c r="AF9" s="71"/>
      <c r="AG9" s="53" t="s">
        <v>678</v>
      </c>
      <c r="AH9" s="56">
        <v>2</v>
      </c>
      <c r="AI9" s="297">
        <v>1</v>
      </c>
      <c r="AJ9" s="56" t="s">
        <v>679</v>
      </c>
      <c r="AK9" s="70">
        <v>250</v>
      </c>
      <c r="AL9" s="56"/>
      <c r="AM9" s="53"/>
      <c r="AN9" s="385" t="s">
        <v>363</v>
      </c>
      <c r="AO9" s="386" t="s">
        <v>364</v>
      </c>
      <c r="AP9" s="387"/>
    </row>
    <row r="10" spans="4:42">
      <c r="D10" s="53"/>
      <c r="E10" s="53"/>
      <c r="F10" s="56"/>
      <c r="G10" s="56"/>
      <c r="H10" s="56"/>
      <c r="I10" s="166" t="s">
        <v>680</v>
      </c>
      <c r="J10" s="56" t="s">
        <v>660</v>
      </c>
      <c r="K10" s="62">
        <v>440.49</v>
      </c>
      <c r="L10" s="317" t="s">
        <v>680</v>
      </c>
      <c r="M10" s="53" t="s">
        <v>472</v>
      </c>
      <c r="N10" s="71">
        <v>45</v>
      </c>
      <c r="O10" s="56"/>
      <c r="P10" s="71"/>
      <c r="Q10" s="56" t="s">
        <v>681</v>
      </c>
      <c r="R10" s="56">
        <v>12.5</v>
      </c>
      <c r="S10" s="75"/>
      <c r="T10" s="56"/>
      <c r="U10" s="75" t="s">
        <v>637</v>
      </c>
      <c r="V10" s="71">
        <v>43</v>
      </c>
      <c r="W10" s="56"/>
      <c r="X10" s="56"/>
      <c r="Y10" s="259"/>
      <c r="Z10" s="273">
        <v>9.69</v>
      </c>
      <c r="AA10" s="171" t="s">
        <v>682</v>
      </c>
      <c r="AB10" s="71">
        <v>1</v>
      </c>
      <c r="AC10" s="53" t="s">
        <v>683</v>
      </c>
      <c r="AD10" s="56">
        <v>5.5</v>
      </c>
      <c r="AE10" s="75"/>
      <c r="AF10" s="71"/>
      <c r="AG10" s="53"/>
      <c r="AH10" s="56"/>
      <c r="AI10" s="297"/>
      <c r="AJ10" s="56"/>
      <c r="AK10" s="70"/>
      <c r="AL10" s="56"/>
      <c r="AM10" s="53"/>
      <c r="AN10" s="385" t="s">
        <v>201</v>
      </c>
      <c r="AO10" s="386" t="s">
        <v>202</v>
      </c>
      <c r="AP10" s="387"/>
    </row>
    <row r="11" spans="4:42">
      <c r="D11" s="53"/>
      <c r="E11" s="53"/>
      <c r="F11" s="53"/>
      <c r="G11" s="77"/>
      <c r="H11" s="56"/>
      <c r="I11" s="171" t="s">
        <v>684</v>
      </c>
      <c r="J11" s="56" t="s">
        <v>663</v>
      </c>
      <c r="K11" s="62">
        <v>484.54</v>
      </c>
      <c r="L11" s="317" t="s">
        <v>685</v>
      </c>
      <c r="M11" s="53" t="s">
        <v>686</v>
      </c>
      <c r="N11" s="71">
        <v>12</v>
      </c>
      <c r="O11" s="56"/>
      <c r="P11" s="71"/>
      <c r="Q11" s="56"/>
      <c r="R11" s="56"/>
      <c r="S11" s="75"/>
      <c r="T11" s="56"/>
      <c r="U11" s="75" t="s">
        <v>687</v>
      </c>
      <c r="V11" s="71">
        <v>2.4</v>
      </c>
      <c r="W11" s="56"/>
      <c r="X11" s="56"/>
      <c r="Y11" s="259"/>
      <c r="Z11" s="273">
        <v>17</v>
      </c>
      <c r="AA11" s="171" t="s">
        <v>688</v>
      </c>
      <c r="AB11" s="71">
        <v>12.5</v>
      </c>
      <c r="AC11" s="53" t="s">
        <v>689</v>
      </c>
      <c r="AD11" s="56">
        <v>10.35</v>
      </c>
      <c r="AE11" s="75"/>
      <c r="AF11" s="71"/>
      <c r="AG11" s="53"/>
      <c r="AH11" s="56"/>
      <c r="AI11" s="297"/>
      <c r="AJ11" s="56"/>
      <c r="AK11" s="70"/>
      <c r="AL11" s="56"/>
      <c r="AM11" s="53"/>
      <c r="AN11" s="385" t="s">
        <v>340</v>
      </c>
      <c r="AO11" s="386" t="s">
        <v>367</v>
      </c>
      <c r="AP11" s="387"/>
    </row>
    <row r="12" spans="4:42">
      <c r="D12" s="53"/>
      <c r="E12" s="53"/>
      <c r="F12" s="53"/>
      <c r="G12" s="77"/>
      <c r="H12" s="458"/>
      <c r="I12" s="424" t="s">
        <v>690</v>
      </c>
      <c r="J12" s="56" t="s">
        <v>691</v>
      </c>
      <c r="K12" s="62">
        <v>428.78</v>
      </c>
      <c r="L12" s="373"/>
      <c r="M12" s="53" t="s">
        <v>692</v>
      </c>
      <c r="N12" s="71">
        <v>4</v>
      </c>
      <c r="O12" s="56"/>
      <c r="P12" s="71"/>
      <c r="Q12" s="56"/>
      <c r="R12" s="56"/>
      <c r="S12" s="75"/>
      <c r="T12" s="56"/>
      <c r="U12" s="75"/>
      <c r="V12" s="71"/>
      <c r="W12" s="56"/>
      <c r="X12" s="56"/>
      <c r="Y12" s="259"/>
      <c r="Z12" s="75">
        <v>7.37</v>
      </c>
      <c r="AA12" s="171" t="s">
        <v>315</v>
      </c>
      <c r="AB12" s="71">
        <v>19</v>
      </c>
      <c r="AC12" s="53" t="s">
        <v>693</v>
      </c>
      <c r="AD12" s="56">
        <v>30</v>
      </c>
      <c r="AE12" s="75"/>
      <c r="AF12" s="71"/>
      <c r="AG12" s="53"/>
      <c r="AH12" s="56"/>
      <c r="AI12" s="297"/>
      <c r="AJ12" s="56"/>
      <c r="AK12" s="70"/>
      <c r="AL12" s="56"/>
      <c r="AM12" s="53"/>
      <c r="AN12" s="385" t="s">
        <v>9</v>
      </c>
      <c r="AO12" s="386" t="s">
        <v>210</v>
      </c>
      <c r="AP12" s="387"/>
    </row>
    <row r="13" spans="4:42">
      <c r="D13" s="53"/>
      <c r="E13" s="53"/>
      <c r="F13" s="53"/>
      <c r="G13" s="77"/>
      <c r="H13" s="77"/>
      <c r="I13" s="312"/>
      <c r="J13" s="56"/>
      <c r="K13" s="76"/>
      <c r="L13" s="317" t="s">
        <v>694</v>
      </c>
      <c r="M13" s="53" t="s">
        <v>692</v>
      </c>
      <c r="N13" s="71">
        <v>6</v>
      </c>
      <c r="O13" s="56"/>
      <c r="P13" s="71"/>
      <c r="Q13" s="56"/>
      <c r="R13" s="56"/>
      <c r="S13" s="75"/>
      <c r="T13" s="56"/>
      <c r="U13" s="75"/>
      <c r="V13" s="71"/>
      <c r="W13" s="56"/>
      <c r="X13" s="56"/>
      <c r="Y13" s="259"/>
      <c r="Z13" s="75">
        <v>55</v>
      </c>
      <c r="AA13" s="171" t="s">
        <v>682</v>
      </c>
      <c r="AB13" s="71">
        <v>1</v>
      </c>
      <c r="AC13" s="53" t="s">
        <v>695</v>
      </c>
      <c r="AD13" s="56">
        <v>3.75</v>
      </c>
      <c r="AE13" s="75"/>
      <c r="AF13" s="71"/>
      <c r="AG13" s="53"/>
      <c r="AH13" s="56"/>
      <c r="AI13" s="297"/>
      <c r="AJ13" s="56"/>
      <c r="AK13" s="70"/>
      <c r="AL13" s="56"/>
      <c r="AM13" s="53"/>
      <c r="AN13" s="395" t="s">
        <v>159</v>
      </c>
      <c r="AO13" s="396" t="s">
        <v>368</v>
      </c>
      <c r="AP13" s="397"/>
    </row>
    <row r="14" spans="4:42">
      <c r="D14" s="53"/>
      <c r="E14" s="53"/>
      <c r="F14" s="53"/>
      <c r="G14" s="77"/>
      <c r="H14" s="77"/>
      <c r="I14" s="312"/>
      <c r="J14" s="77"/>
      <c r="K14" s="76"/>
      <c r="L14" s="373"/>
      <c r="N14" s="415"/>
      <c r="O14" s="56"/>
      <c r="P14" s="71"/>
      <c r="Q14" s="56"/>
      <c r="R14" s="56"/>
      <c r="S14" s="75"/>
      <c r="T14" s="56"/>
      <c r="U14" s="75"/>
      <c r="V14" s="71"/>
      <c r="W14" s="56"/>
      <c r="X14" s="56"/>
      <c r="Y14" s="259"/>
      <c r="Z14" s="75">
        <v>4</v>
      </c>
      <c r="AA14" s="171" t="s">
        <v>696</v>
      </c>
      <c r="AB14" s="71">
        <v>11.5</v>
      </c>
      <c r="AC14" s="53" t="s">
        <v>697</v>
      </c>
      <c r="AD14" s="56">
        <v>12</v>
      </c>
      <c r="AE14" s="75"/>
      <c r="AF14" s="71"/>
      <c r="AG14" s="53"/>
      <c r="AH14" s="56"/>
      <c r="AI14" s="297"/>
      <c r="AJ14" s="56"/>
      <c r="AK14" s="70"/>
      <c r="AL14" s="56"/>
      <c r="AM14" s="53"/>
      <c r="AN14" s="395" t="s">
        <v>161</v>
      </c>
      <c r="AO14" s="396" t="s">
        <v>369</v>
      </c>
      <c r="AP14" s="397"/>
    </row>
    <row r="15" spans="4:42">
      <c r="D15" s="53"/>
      <c r="E15" s="53"/>
      <c r="F15" s="53"/>
      <c r="G15" s="53"/>
      <c r="H15" s="77"/>
      <c r="I15" s="312"/>
      <c r="J15" s="77"/>
      <c r="K15" s="76"/>
      <c r="L15" s="280"/>
      <c r="M15" s="53"/>
      <c r="N15" s="71"/>
      <c r="O15" s="56"/>
      <c r="P15" s="71"/>
      <c r="Q15" s="56"/>
      <c r="R15" s="56"/>
      <c r="S15" s="75"/>
      <c r="T15" s="56"/>
      <c r="U15" s="75"/>
      <c r="V15" s="71"/>
      <c r="W15" s="56"/>
      <c r="X15" s="56"/>
      <c r="Y15" s="259"/>
      <c r="Z15" s="75">
        <v>13.5</v>
      </c>
      <c r="AA15" s="171"/>
      <c r="AB15" s="71"/>
      <c r="AC15" s="53" t="s">
        <v>698</v>
      </c>
      <c r="AD15" s="56">
        <v>3</v>
      </c>
      <c r="AE15" s="75"/>
      <c r="AF15" s="71"/>
      <c r="AG15" s="53"/>
      <c r="AH15" s="56"/>
      <c r="AI15" s="297"/>
      <c r="AJ15" s="56"/>
      <c r="AK15" s="70"/>
      <c r="AL15" s="56"/>
      <c r="AM15" s="53"/>
      <c r="AN15" s="395" t="s">
        <v>162</v>
      </c>
      <c r="AO15" s="396" t="s">
        <v>370</v>
      </c>
      <c r="AP15" s="397"/>
    </row>
    <row r="16" spans="4:42">
      <c r="D16" s="53"/>
      <c r="E16" s="53"/>
      <c r="F16" s="53"/>
      <c r="G16" s="53"/>
      <c r="H16" s="77"/>
      <c r="I16" s="312"/>
      <c r="J16" s="56"/>
      <c r="K16" s="62"/>
      <c r="L16" s="317"/>
      <c r="M16" s="53"/>
      <c r="N16" s="71"/>
      <c r="O16" s="56"/>
      <c r="P16" s="71"/>
      <c r="Q16" s="56"/>
      <c r="R16" s="56"/>
      <c r="S16" s="75"/>
      <c r="T16" s="56"/>
      <c r="U16" s="69"/>
      <c r="V16" s="71"/>
      <c r="W16" s="56"/>
      <c r="X16" s="56"/>
      <c r="Y16" s="259"/>
      <c r="Z16" s="75">
        <v>12</v>
      </c>
      <c r="AA16" s="171"/>
      <c r="AB16" s="71"/>
      <c r="AC16" s="53"/>
      <c r="AD16" s="56"/>
      <c r="AE16" s="75"/>
      <c r="AF16" s="71"/>
      <c r="AG16" s="53"/>
      <c r="AH16" s="56"/>
      <c r="AI16" s="297"/>
      <c r="AJ16" s="56"/>
      <c r="AK16" s="70"/>
      <c r="AL16" s="56"/>
      <c r="AM16" s="53"/>
      <c r="AN16" s="395" t="s">
        <v>163</v>
      </c>
      <c r="AO16" s="396" t="s">
        <v>371</v>
      </c>
      <c r="AP16" s="397"/>
    </row>
    <row r="17" spans="4:42">
      <c r="D17" s="53"/>
      <c r="E17" s="53"/>
      <c r="F17" s="53"/>
      <c r="G17" s="53"/>
      <c r="H17" s="56"/>
      <c r="I17" s="171"/>
      <c r="J17" s="458"/>
      <c r="K17" s="80"/>
      <c r="L17" s="318"/>
      <c r="M17" s="53"/>
      <c r="N17" s="71"/>
      <c r="O17" s="56"/>
      <c r="P17" s="71"/>
      <c r="Q17" s="56"/>
      <c r="R17" s="56"/>
      <c r="S17" s="75"/>
      <c r="T17" s="56"/>
      <c r="U17" s="75"/>
      <c r="V17" s="71"/>
      <c r="W17" s="56"/>
      <c r="X17" s="56"/>
      <c r="Y17" s="259"/>
      <c r="Z17" s="75">
        <v>6</v>
      </c>
      <c r="AA17" s="171"/>
      <c r="AB17" s="71"/>
      <c r="AC17" s="53"/>
      <c r="AD17" s="56"/>
      <c r="AE17" s="75"/>
      <c r="AF17" s="71"/>
      <c r="AG17" s="53"/>
      <c r="AH17" s="56"/>
      <c r="AI17" s="297"/>
      <c r="AJ17" s="56"/>
      <c r="AK17" s="70"/>
      <c r="AL17" s="56"/>
      <c r="AM17" s="53"/>
      <c r="AN17" s="395" t="s">
        <v>224</v>
      </c>
      <c r="AO17" s="396" t="s">
        <v>225</v>
      </c>
      <c r="AP17" s="397"/>
    </row>
    <row r="18" spans="4:42" ht="17.100000000000001" thickBot="1">
      <c r="D18" s="53"/>
      <c r="E18" s="53"/>
      <c r="F18" s="53"/>
      <c r="G18" s="53"/>
      <c r="H18" s="458"/>
      <c r="I18" s="311"/>
      <c r="J18" s="77"/>
      <c r="K18" s="76"/>
      <c r="L18" s="280"/>
      <c r="M18" s="53"/>
      <c r="N18" s="71"/>
      <c r="O18" s="56"/>
      <c r="P18" s="71"/>
      <c r="Q18" s="56"/>
      <c r="R18" s="56"/>
      <c r="S18" s="75"/>
      <c r="T18" s="56"/>
      <c r="U18" s="75"/>
      <c r="V18" s="71"/>
      <c r="W18" s="56"/>
      <c r="X18" s="56"/>
      <c r="Y18" s="259"/>
      <c r="Z18" s="75">
        <v>5.5</v>
      </c>
      <c r="AA18" s="171"/>
      <c r="AB18" s="71"/>
      <c r="AC18" s="53"/>
      <c r="AD18" s="56"/>
      <c r="AE18" s="75"/>
      <c r="AF18" s="71"/>
      <c r="AG18" s="53"/>
      <c r="AH18" s="76"/>
      <c r="AI18" s="298"/>
      <c r="AJ18" s="76"/>
      <c r="AK18" s="81"/>
      <c r="AL18" s="76"/>
      <c r="AM18" s="53"/>
      <c r="AN18" s="403" t="s">
        <v>341</v>
      </c>
      <c r="AO18" s="404" t="s">
        <v>372</v>
      </c>
      <c r="AP18" s="405"/>
    </row>
    <row r="19" spans="4:42">
      <c r="D19" s="53"/>
      <c r="E19" s="53"/>
      <c r="F19" s="53"/>
      <c r="G19" s="53"/>
      <c r="H19" s="77"/>
      <c r="I19" s="312"/>
      <c r="J19" s="77"/>
      <c r="K19" s="76"/>
      <c r="L19" s="280"/>
      <c r="M19" s="53"/>
      <c r="N19" s="71"/>
      <c r="O19" s="56"/>
      <c r="P19" s="71"/>
      <c r="Q19" s="56"/>
      <c r="R19" s="56"/>
      <c r="S19" s="75"/>
      <c r="T19" s="56"/>
      <c r="U19" s="75"/>
      <c r="V19" s="71"/>
      <c r="W19" s="56"/>
      <c r="X19" s="56"/>
      <c r="Y19" s="259"/>
      <c r="Z19" s="75">
        <v>6.25</v>
      </c>
      <c r="AA19" s="171"/>
      <c r="AB19" s="71"/>
      <c r="AC19" s="53"/>
      <c r="AD19" s="56"/>
      <c r="AE19" s="75"/>
      <c r="AF19" s="71"/>
      <c r="AG19" s="53"/>
      <c r="AH19" s="56"/>
      <c r="AI19" s="297"/>
      <c r="AJ19" s="56"/>
      <c r="AK19" s="70"/>
      <c r="AL19" s="56"/>
      <c r="AM19" s="53"/>
      <c r="AN19" s="53"/>
      <c r="AO19" s="53"/>
      <c r="AP19" s="53"/>
    </row>
    <row r="20" spans="4:42">
      <c r="D20" s="53"/>
      <c r="E20" s="53"/>
      <c r="F20" s="56"/>
      <c r="G20" s="53"/>
      <c r="H20" s="77"/>
      <c r="I20" s="312"/>
      <c r="J20" s="77"/>
      <c r="K20" s="76"/>
      <c r="L20" s="280"/>
      <c r="M20" s="53"/>
      <c r="N20" s="71"/>
      <c r="O20" s="56"/>
      <c r="P20" s="71"/>
      <c r="Q20" s="56"/>
      <c r="R20" s="56"/>
      <c r="S20" s="75"/>
      <c r="T20" s="56"/>
      <c r="U20" s="75"/>
      <c r="V20" s="71"/>
      <c r="W20" s="56"/>
      <c r="X20" s="56"/>
      <c r="Y20" s="259"/>
      <c r="Z20" s="75">
        <v>51.11</v>
      </c>
      <c r="AA20" s="171"/>
      <c r="AB20" s="71"/>
      <c r="AC20" s="53"/>
      <c r="AD20" s="56"/>
      <c r="AE20" s="75"/>
      <c r="AF20" s="71"/>
      <c r="AG20" s="53"/>
      <c r="AH20" s="56"/>
      <c r="AI20" s="297"/>
      <c r="AJ20" s="56"/>
      <c r="AK20" s="70"/>
      <c r="AL20" s="56"/>
      <c r="AM20" s="53"/>
      <c r="AN20" s="53"/>
      <c r="AO20" s="53"/>
      <c r="AP20" s="53"/>
    </row>
    <row r="21" spans="4:42">
      <c r="D21" s="53"/>
      <c r="E21" s="53"/>
      <c r="F21" s="53"/>
      <c r="G21" s="53"/>
      <c r="H21" s="77"/>
      <c r="I21" s="312"/>
      <c r="J21" s="77"/>
      <c r="K21" s="76"/>
      <c r="L21" s="280"/>
      <c r="M21" s="53"/>
      <c r="N21" s="71"/>
      <c r="O21" s="56"/>
      <c r="P21" s="71"/>
      <c r="Q21" s="56"/>
      <c r="R21" s="56"/>
      <c r="S21" s="75"/>
      <c r="T21" s="56"/>
      <c r="U21" s="75"/>
      <c r="V21" s="71"/>
      <c r="W21" s="56"/>
      <c r="X21" s="56"/>
      <c r="Y21" s="259"/>
      <c r="Z21" s="75"/>
      <c r="AA21" s="171"/>
      <c r="AB21" s="71"/>
      <c r="AC21" s="53"/>
      <c r="AD21" s="56"/>
      <c r="AE21" s="75"/>
      <c r="AF21" s="71"/>
      <c r="AG21" s="53"/>
      <c r="AH21" s="56"/>
      <c r="AI21" s="297"/>
      <c r="AJ21" s="56"/>
      <c r="AK21" s="70"/>
      <c r="AL21" s="56"/>
      <c r="AM21" s="53"/>
      <c r="AN21" s="53"/>
      <c r="AO21" s="53"/>
      <c r="AP21" s="53"/>
    </row>
    <row r="22" spans="4:42">
      <c r="D22" s="53"/>
      <c r="E22" s="53"/>
      <c r="F22" s="53"/>
      <c r="G22" s="53"/>
      <c r="H22" s="77"/>
      <c r="I22" s="312"/>
      <c r="J22" s="53"/>
      <c r="K22" s="74"/>
      <c r="L22" s="319"/>
      <c r="M22" s="53"/>
      <c r="N22" s="71"/>
      <c r="O22" s="56"/>
      <c r="P22" s="71"/>
      <c r="Q22" s="56"/>
      <c r="R22" s="56"/>
      <c r="S22" s="75"/>
      <c r="T22" s="56"/>
      <c r="U22" s="75"/>
      <c r="V22" s="71"/>
      <c r="W22" s="56"/>
      <c r="X22" s="56"/>
      <c r="Y22" s="259"/>
      <c r="Z22" s="75"/>
      <c r="AA22" s="171"/>
      <c r="AB22" s="71"/>
      <c r="AC22" s="53"/>
      <c r="AD22" s="56"/>
      <c r="AE22" s="75"/>
      <c r="AF22" s="71"/>
      <c r="AG22" s="53"/>
      <c r="AH22" s="56"/>
      <c r="AI22" s="297"/>
      <c r="AJ22" s="56"/>
      <c r="AK22" s="70"/>
      <c r="AL22" s="56"/>
      <c r="AM22" s="53"/>
      <c r="AN22" s="53"/>
      <c r="AO22" s="53"/>
      <c r="AP22" s="406"/>
    </row>
    <row r="23" spans="4:42">
      <c r="D23" s="53"/>
      <c r="E23" s="53"/>
      <c r="F23" s="53"/>
      <c r="G23" s="53"/>
      <c r="H23" s="77"/>
      <c r="I23" s="312"/>
      <c r="J23" s="53"/>
      <c r="K23" s="74"/>
      <c r="L23" s="319"/>
      <c r="M23" s="53"/>
      <c r="N23" s="71"/>
      <c r="O23" s="56"/>
      <c r="P23" s="71"/>
      <c r="Q23" s="56"/>
      <c r="R23" s="56"/>
      <c r="S23" s="75"/>
      <c r="T23" s="56"/>
      <c r="U23" s="75"/>
      <c r="V23" s="71"/>
      <c r="W23" s="56"/>
      <c r="X23" s="56"/>
      <c r="Y23" s="259"/>
      <c r="Z23" s="75"/>
      <c r="AA23" s="171"/>
      <c r="AB23" s="71"/>
      <c r="AC23" s="53"/>
      <c r="AD23" s="56"/>
      <c r="AE23" s="75"/>
      <c r="AF23" s="71"/>
      <c r="AG23" s="53"/>
      <c r="AH23" s="56"/>
      <c r="AI23" s="297"/>
      <c r="AJ23" s="56"/>
      <c r="AK23" s="70"/>
      <c r="AL23" s="56"/>
      <c r="AM23" s="53"/>
      <c r="AN23" s="53"/>
      <c r="AO23" s="53"/>
      <c r="AP23" s="406"/>
    </row>
    <row r="24" spans="4:42">
      <c r="D24" s="53"/>
      <c r="E24" s="53"/>
      <c r="F24" s="53"/>
      <c r="G24" s="53"/>
      <c r="H24" s="77"/>
      <c r="I24" s="312"/>
      <c r="J24" s="53"/>
      <c r="K24" s="74"/>
      <c r="L24" s="319"/>
      <c r="M24" s="53"/>
      <c r="N24" s="71"/>
      <c r="O24" s="56"/>
      <c r="P24" s="71"/>
      <c r="Q24" s="56"/>
      <c r="R24" s="56"/>
      <c r="S24" s="75"/>
      <c r="T24" s="56"/>
      <c r="U24" s="75"/>
      <c r="V24" s="71"/>
      <c r="W24" s="56"/>
      <c r="X24" s="56"/>
      <c r="Y24" s="259"/>
      <c r="Z24" s="75"/>
      <c r="AA24" s="171"/>
      <c r="AB24" s="71"/>
      <c r="AC24" s="53"/>
      <c r="AD24" s="56"/>
      <c r="AE24" s="75"/>
      <c r="AF24" s="71"/>
      <c r="AG24" s="53"/>
      <c r="AH24" s="56"/>
      <c r="AI24" s="297"/>
      <c r="AJ24" s="56"/>
      <c r="AK24" s="70"/>
      <c r="AL24" s="56"/>
      <c r="AM24" s="53"/>
      <c r="AN24" s="53"/>
      <c r="AO24" s="53"/>
      <c r="AP24" s="406"/>
    </row>
    <row r="25" spans="4:42">
      <c r="D25" s="53"/>
      <c r="E25" s="53"/>
      <c r="F25" s="53"/>
      <c r="G25" s="53"/>
      <c r="H25" s="53"/>
      <c r="I25" s="166"/>
      <c r="J25" s="53"/>
      <c r="K25" s="74"/>
      <c r="L25" s="319"/>
      <c r="M25" s="53"/>
      <c r="N25" s="71"/>
      <c r="O25" s="56"/>
      <c r="P25" s="71"/>
      <c r="Q25" s="56"/>
      <c r="R25" s="56"/>
      <c r="S25" s="75"/>
      <c r="T25" s="56"/>
      <c r="U25" s="75"/>
      <c r="V25" s="71"/>
      <c r="W25" s="56"/>
      <c r="X25" s="56"/>
      <c r="Y25" s="259"/>
      <c r="Z25" s="75"/>
      <c r="AA25" s="171"/>
      <c r="AB25" s="71"/>
      <c r="AC25" s="53"/>
      <c r="AD25" s="56"/>
      <c r="AE25" s="75"/>
      <c r="AF25" s="71"/>
      <c r="AG25" s="53"/>
      <c r="AH25" s="56"/>
      <c r="AI25" s="297"/>
      <c r="AJ25" s="56"/>
      <c r="AK25" s="70"/>
      <c r="AL25" s="56"/>
      <c r="AM25" s="53"/>
      <c r="AN25" s="53"/>
      <c r="AO25" s="53"/>
      <c r="AP25" s="406"/>
    </row>
    <row r="26" spans="4:42">
      <c r="D26" s="53"/>
      <c r="E26" s="53"/>
      <c r="F26" s="53"/>
      <c r="G26" s="53"/>
      <c r="H26" s="53"/>
      <c r="I26" s="166"/>
      <c r="J26" s="428" t="s">
        <v>227</v>
      </c>
      <c r="K26" s="164">
        <f>SUM(K7:K25)</f>
        <v>2677.58</v>
      </c>
      <c r="L26" s="317"/>
      <c r="M26" s="53"/>
      <c r="N26" s="71"/>
      <c r="O26" s="56"/>
      <c r="P26" s="71"/>
      <c r="Q26" s="56"/>
      <c r="R26" s="56"/>
      <c r="S26" s="75"/>
      <c r="T26" s="56"/>
      <c r="U26" s="75"/>
      <c r="V26" s="71"/>
      <c r="W26" s="56"/>
      <c r="X26" s="56"/>
      <c r="Y26" s="259"/>
      <c r="Z26" s="75"/>
      <c r="AA26" s="171"/>
      <c r="AB26" s="71"/>
      <c r="AC26" s="53"/>
      <c r="AD26" s="56"/>
      <c r="AE26" s="75"/>
      <c r="AF26" s="71"/>
      <c r="AG26" s="53"/>
      <c r="AH26" s="56"/>
      <c r="AI26" s="297"/>
      <c r="AJ26" s="56"/>
      <c r="AK26" s="70"/>
      <c r="AL26" s="56"/>
      <c r="AM26" s="53"/>
      <c r="AN26" s="53"/>
      <c r="AO26" s="53"/>
      <c r="AP26" s="406"/>
    </row>
    <row r="27" spans="4:42">
      <c r="D27" s="53"/>
      <c r="E27" s="53"/>
      <c r="F27" s="53"/>
      <c r="G27" s="53"/>
      <c r="H27" s="53"/>
      <c r="I27" s="166"/>
      <c r="J27" s="53" t="s">
        <v>16</v>
      </c>
      <c r="K27" s="62">
        <v>0</v>
      </c>
      <c r="L27" s="317"/>
      <c r="M27" s="53"/>
      <c r="N27" s="71"/>
      <c r="O27" s="56"/>
      <c r="P27" s="71"/>
      <c r="Q27" s="56"/>
      <c r="R27" s="56"/>
      <c r="S27" s="75"/>
      <c r="T27" s="56"/>
      <c r="U27" s="75"/>
      <c r="V27" s="71"/>
      <c r="W27" s="56"/>
      <c r="X27" s="56"/>
      <c r="Y27" s="259"/>
      <c r="Z27" s="75"/>
      <c r="AA27" s="171"/>
      <c r="AB27" s="71"/>
      <c r="AC27" s="53"/>
      <c r="AD27" s="56"/>
      <c r="AE27" s="75"/>
      <c r="AF27" s="71"/>
      <c r="AG27" s="53"/>
      <c r="AH27" s="56"/>
      <c r="AI27" s="297"/>
      <c r="AJ27" s="56"/>
      <c r="AK27" s="70"/>
      <c r="AL27" s="56"/>
      <c r="AM27" s="53"/>
      <c r="AN27" s="53"/>
      <c r="AO27" s="53"/>
      <c r="AP27" s="406"/>
    </row>
    <row r="28" spans="4:42">
      <c r="D28" s="53"/>
      <c r="E28" s="53"/>
      <c r="F28" s="53"/>
      <c r="G28" s="53"/>
      <c r="H28" s="53"/>
      <c r="I28" s="166"/>
      <c r="J28" s="53" t="s">
        <v>373</v>
      </c>
      <c r="K28" s="62">
        <v>0</v>
      </c>
      <c r="L28" s="317"/>
      <c r="M28" s="53"/>
      <c r="N28" s="71"/>
      <c r="O28" s="56"/>
      <c r="P28" s="71"/>
      <c r="Q28" s="56"/>
      <c r="R28" s="56"/>
      <c r="S28" s="75"/>
      <c r="T28" s="56"/>
      <c r="U28" s="75"/>
      <c r="V28" s="71"/>
      <c r="W28" s="56"/>
      <c r="X28" s="56"/>
      <c r="Y28" s="259"/>
      <c r="Z28" s="75"/>
      <c r="AA28" s="171"/>
      <c r="AB28" s="71"/>
      <c r="AC28" s="53"/>
      <c r="AD28" s="56"/>
      <c r="AE28" s="75"/>
      <c r="AF28" s="71"/>
      <c r="AG28" s="53"/>
      <c r="AH28" s="56"/>
      <c r="AI28" s="297"/>
      <c r="AJ28" s="56"/>
      <c r="AK28" s="70"/>
      <c r="AL28" s="56"/>
      <c r="AM28" s="53"/>
      <c r="AN28" s="53"/>
      <c r="AO28" s="53"/>
      <c r="AP28" s="53"/>
    </row>
    <row r="29" spans="4:42">
      <c r="H29" s="53"/>
      <c r="I29" s="166"/>
      <c r="J29" s="53"/>
      <c r="K29" s="62"/>
      <c r="L29" s="317"/>
      <c r="M29" s="53"/>
      <c r="N29" s="71"/>
      <c r="O29" s="56"/>
      <c r="P29" s="71"/>
      <c r="Q29" s="56"/>
      <c r="R29" s="56"/>
      <c r="S29" s="75"/>
      <c r="T29" s="56"/>
      <c r="U29" s="75"/>
      <c r="V29" s="71"/>
      <c r="W29" s="56"/>
      <c r="X29" s="56"/>
      <c r="Y29" s="259"/>
      <c r="Z29" s="75"/>
      <c r="AA29" s="171"/>
      <c r="AB29" s="71"/>
      <c r="AC29" s="53"/>
      <c r="AD29" s="56"/>
      <c r="AE29" s="75"/>
      <c r="AF29" s="71"/>
      <c r="AG29" s="53"/>
      <c r="AH29" s="56"/>
      <c r="AI29" s="297"/>
      <c r="AJ29" s="56"/>
      <c r="AK29" s="70"/>
      <c r="AL29" s="56"/>
      <c r="AM29" s="53"/>
      <c r="AN29" s="53"/>
      <c r="AO29" s="53"/>
      <c r="AP29" s="53"/>
    </row>
    <row r="30" spans="4:42">
      <c r="H30" s="53"/>
      <c r="I30" s="736" t="s">
        <v>229</v>
      </c>
      <c r="J30" s="737"/>
      <c r="K30" s="407">
        <f>K26-K27-K28</f>
        <v>2677.58</v>
      </c>
      <c r="L30" s="738">
        <f>SUM(N7:N29)</f>
        <v>578</v>
      </c>
      <c r="M30" s="739"/>
      <c r="N30" s="740"/>
      <c r="O30" s="725">
        <f>SUM(P7:P29)</f>
        <v>0</v>
      </c>
      <c r="P30" s="740"/>
      <c r="Q30" s="725">
        <f>SUM(R7:R29)</f>
        <v>41</v>
      </c>
      <c r="R30" s="726"/>
      <c r="S30" s="741">
        <f>SUM(T7:T29)</f>
        <v>20</v>
      </c>
      <c r="T30" s="740"/>
      <c r="U30" s="725">
        <f>SUM(V7:V29)</f>
        <v>99.25</v>
      </c>
      <c r="V30" s="740"/>
      <c r="W30" s="725">
        <f>SUM(X7:X29)</f>
        <v>0</v>
      </c>
      <c r="X30" s="726"/>
      <c r="Y30" s="408">
        <f>SUM(Y7:Y29)</f>
        <v>0</v>
      </c>
      <c r="Z30" s="409">
        <f>SUM(Z7:Z29)</f>
        <v>223.59000000000003</v>
      </c>
      <c r="AA30" s="727">
        <f>SUM(AB7:AB29)</f>
        <v>48.5</v>
      </c>
      <c r="AB30" s="731"/>
      <c r="AC30" s="732">
        <f>SUM(AD7:AD29)</f>
        <v>84.73</v>
      </c>
      <c r="AD30" s="728"/>
      <c r="AE30" s="730">
        <f>SUM(AF7:AF29)</f>
        <v>0</v>
      </c>
      <c r="AF30" s="731"/>
      <c r="AG30" s="732">
        <f>SUM(AH7:AH29)</f>
        <v>7</v>
      </c>
      <c r="AH30" s="733"/>
      <c r="AI30" s="410">
        <f>SUM(AI7:AI29)</f>
        <v>8.2800000000000011</v>
      </c>
      <c r="AJ30" s="734">
        <f>SUM(AK7:AK29)</f>
        <v>496.28</v>
      </c>
      <c r="AK30" s="735"/>
      <c r="AL30" s="56"/>
      <c r="AM30" s="53"/>
      <c r="AN30" s="53"/>
      <c r="AO30" s="53"/>
      <c r="AP30" s="53"/>
    </row>
    <row r="31" spans="4:42" ht="17.100000000000001" thickBot="1">
      <c r="H31" s="53"/>
      <c r="I31" s="714" t="s">
        <v>470</v>
      </c>
      <c r="J31" s="715"/>
      <c r="K31" s="411">
        <f>K30-L32</f>
        <v>1070.9499999999998</v>
      </c>
      <c r="L31" s="716">
        <f>SUM(L30:Z30)</f>
        <v>961.84</v>
      </c>
      <c r="M31" s="717"/>
      <c r="N31" s="717"/>
      <c r="O31" s="717"/>
      <c r="P31" s="717"/>
      <c r="Q31" s="717"/>
      <c r="R31" s="717"/>
      <c r="S31" s="717"/>
      <c r="T31" s="717"/>
      <c r="U31" s="717"/>
      <c r="V31" s="717"/>
      <c r="W31" s="717"/>
      <c r="X31" s="717"/>
      <c r="Y31" s="717"/>
      <c r="Z31" s="718"/>
      <c r="AA31" s="719">
        <f>SUM(AA30:AK30)</f>
        <v>644.79</v>
      </c>
      <c r="AB31" s="720"/>
      <c r="AC31" s="720"/>
      <c r="AD31" s="720"/>
      <c r="AE31" s="720"/>
      <c r="AF31" s="720"/>
      <c r="AG31" s="720"/>
      <c r="AH31" s="720"/>
      <c r="AI31" s="720"/>
      <c r="AJ31" s="720"/>
      <c r="AK31" s="721"/>
      <c r="AL31" s="56"/>
      <c r="AM31" s="53"/>
      <c r="AN31" s="56"/>
      <c r="AO31" s="53"/>
      <c r="AP31" s="53"/>
    </row>
    <row r="32" spans="4:42" ht="21" thickTop="1" thickBot="1">
      <c r="H32" s="53"/>
      <c r="I32" s="53"/>
      <c r="J32" s="56"/>
      <c r="K32" s="62"/>
      <c r="L32" s="722">
        <f>SUM(L31:AK31)</f>
        <v>1606.63</v>
      </c>
      <c r="M32" s="723"/>
      <c r="N32" s="723"/>
      <c r="O32" s="723"/>
      <c r="P32" s="723"/>
      <c r="Q32" s="723"/>
      <c r="R32" s="723"/>
      <c r="S32" s="723"/>
      <c r="T32" s="723"/>
      <c r="U32" s="723"/>
      <c r="V32" s="723"/>
      <c r="W32" s="723"/>
      <c r="X32" s="723"/>
      <c r="Y32" s="723"/>
      <c r="Z32" s="723"/>
      <c r="AA32" s="723"/>
      <c r="AB32" s="723"/>
      <c r="AC32" s="723"/>
      <c r="AD32" s="723"/>
      <c r="AE32" s="723"/>
      <c r="AF32" s="723"/>
      <c r="AG32" s="723"/>
      <c r="AH32" s="723"/>
      <c r="AI32" s="723"/>
      <c r="AJ32" s="723"/>
      <c r="AK32" s="724"/>
      <c r="AL32" s="56"/>
      <c r="AM32" s="53"/>
      <c r="AN32" s="53"/>
      <c r="AO32" s="53"/>
      <c r="AP32" s="53"/>
    </row>
    <row r="33" spans="8:42"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</row>
    <row r="34" spans="8:42"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</row>
    <row r="35" spans="8:42"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</row>
    <row r="36" spans="8:42"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</row>
    <row r="37" spans="8:42">
      <c r="H37" s="53"/>
      <c r="I37" s="412">
        <v>980</v>
      </c>
      <c r="J37" s="412" t="s">
        <v>699</v>
      </c>
      <c r="K37" s="412"/>
      <c r="L37" s="412"/>
      <c r="M37" s="56"/>
      <c r="N37" s="56"/>
      <c r="O37" s="56"/>
      <c r="P37" s="56"/>
      <c r="Q37" s="56"/>
      <c r="R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</row>
    <row r="38" spans="8:42">
      <c r="H38" s="53"/>
      <c r="I38" s="56"/>
      <c r="J38" s="53"/>
      <c r="K38" s="53"/>
      <c r="L38" s="53"/>
      <c r="M38" s="53"/>
      <c r="N38" s="53"/>
      <c r="O38" s="53"/>
      <c r="P38" s="53"/>
      <c r="Q38" s="53"/>
      <c r="R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</row>
    <row r="39" spans="8:42">
      <c r="I39" t="s">
        <v>700</v>
      </c>
      <c r="J39" t="s">
        <v>701</v>
      </c>
    </row>
    <row r="40" spans="8:42">
      <c r="I40" t="s">
        <v>700</v>
      </c>
      <c r="J40" t="s">
        <v>702</v>
      </c>
    </row>
  </sheetData>
  <mergeCells count="31">
    <mergeCell ref="E4:F4"/>
    <mergeCell ref="I4:AK4"/>
    <mergeCell ref="AN4:AP4"/>
    <mergeCell ref="I5:K5"/>
    <mergeCell ref="L5:N5"/>
    <mergeCell ref="O5:P5"/>
    <mergeCell ref="Q5:R5"/>
    <mergeCell ref="S5:T5"/>
    <mergeCell ref="U5:V5"/>
    <mergeCell ref="W5:X5"/>
    <mergeCell ref="AA5:AB5"/>
    <mergeCell ref="AC5:AD5"/>
    <mergeCell ref="AE5:AF5"/>
    <mergeCell ref="AG5:AH5"/>
    <mergeCell ref="AJ5:AK5"/>
    <mergeCell ref="I31:J31"/>
    <mergeCell ref="L31:Z31"/>
    <mergeCell ref="AA31:AK31"/>
    <mergeCell ref="L32:AK32"/>
    <mergeCell ref="W30:X30"/>
    <mergeCell ref="AA30:AB30"/>
    <mergeCell ref="AC30:AD30"/>
    <mergeCell ref="AE30:AF30"/>
    <mergeCell ref="AG30:AH30"/>
    <mergeCell ref="AJ30:AK30"/>
    <mergeCell ref="I30:J30"/>
    <mergeCell ref="L30:N30"/>
    <mergeCell ref="O30:P30"/>
    <mergeCell ref="Q30:R30"/>
    <mergeCell ref="S30:T30"/>
    <mergeCell ref="U30:V30"/>
  </mergeCells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3130-C17E-7044-B7F0-73D7E698CABF}">
  <sheetPr>
    <tabColor theme="9" tint="0.59999389629810485"/>
  </sheetPr>
  <dimension ref="C3:AO45"/>
  <sheetViews>
    <sheetView topLeftCell="X6" zoomScale="75" workbookViewId="0">
      <selection activeCell="L19" sqref="L19"/>
    </sheetView>
  </sheetViews>
  <sheetFormatPr defaultColWidth="11" defaultRowHeight="15.95"/>
  <cols>
    <col min="4" max="4" width="22.875" customWidth="1"/>
    <col min="5" max="5" width="12.625" customWidth="1"/>
    <col min="9" max="9" width="17.125" customWidth="1"/>
    <col min="12" max="12" width="16.625" customWidth="1"/>
    <col min="16" max="16" width="18" customWidth="1"/>
    <col min="24" max="24" width="10.875" customWidth="1"/>
    <col min="26" max="26" width="19.125" customWidth="1"/>
    <col min="28" max="28" width="20.375" customWidth="1"/>
    <col min="30" max="30" width="14.375" customWidth="1"/>
    <col min="32" max="32" width="21.375" customWidth="1"/>
    <col min="35" max="35" width="19.625" customWidth="1"/>
    <col min="41" max="41" width="76.375" customWidth="1"/>
  </cols>
  <sheetData>
    <row r="3" spans="3:41" ht="17.100000000000001" thickBot="1"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</row>
    <row r="4" spans="3:41" ht="21.95" thickBot="1">
      <c r="C4" s="53"/>
      <c r="D4" s="484" t="s">
        <v>0</v>
      </c>
      <c r="E4" s="744"/>
      <c r="F4" s="456"/>
      <c r="G4" s="456"/>
      <c r="H4" s="745" t="s">
        <v>703</v>
      </c>
      <c r="I4" s="746"/>
      <c r="J4" s="746"/>
      <c r="K4" s="746"/>
      <c r="L4" s="746"/>
      <c r="M4" s="746"/>
      <c r="N4" s="746"/>
      <c r="O4" s="746"/>
      <c r="P4" s="746"/>
      <c r="Q4" s="746"/>
      <c r="R4" s="746"/>
      <c r="S4" s="746"/>
      <c r="T4" s="746"/>
      <c r="U4" s="746"/>
      <c r="V4" s="746"/>
      <c r="W4" s="746"/>
      <c r="X4" s="746"/>
      <c r="Y4" s="746"/>
      <c r="Z4" s="746"/>
      <c r="AA4" s="746"/>
      <c r="AB4" s="746"/>
      <c r="AC4" s="746"/>
      <c r="AD4" s="746"/>
      <c r="AE4" s="746"/>
      <c r="AF4" s="746"/>
      <c r="AG4" s="746"/>
      <c r="AH4" s="746"/>
      <c r="AI4" s="746"/>
      <c r="AJ4" s="747"/>
      <c r="AK4" s="459"/>
      <c r="AL4" s="53"/>
      <c r="AM4" s="748" t="s">
        <v>333</v>
      </c>
      <c r="AN4" s="749"/>
      <c r="AO4" s="750"/>
    </row>
    <row r="5" spans="3:41">
      <c r="C5" s="53"/>
      <c r="D5" s="380" t="s">
        <v>1</v>
      </c>
      <c r="E5" s="381">
        <f>K31</f>
        <v>767.74</v>
      </c>
      <c r="F5" s="458"/>
      <c r="G5" s="458"/>
      <c r="H5" s="751" t="s">
        <v>460</v>
      </c>
      <c r="I5" s="752"/>
      <c r="J5" s="753"/>
      <c r="K5" s="754" t="s">
        <v>334</v>
      </c>
      <c r="L5" s="755"/>
      <c r="M5" s="756"/>
      <c r="N5" s="757" t="s">
        <v>335</v>
      </c>
      <c r="O5" s="756"/>
      <c r="P5" s="757" t="s">
        <v>336</v>
      </c>
      <c r="Q5" s="758"/>
      <c r="R5" s="759" t="s">
        <v>337</v>
      </c>
      <c r="S5" s="756"/>
      <c r="T5" s="757" t="s">
        <v>461</v>
      </c>
      <c r="U5" s="756"/>
      <c r="V5" s="757" t="s">
        <v>339</v>
      </c>
      <c r="W5" s="758"/>
      <c r="X5" s="383" t="s">
        <v>340</v>
      </c>
      <c r="Y5" s="382" t="s">
        <v>9</v>
      </c>
      <c r="Z5" s="760" t="s">
        <v>159</v>
      </c>
      <c r="AA5" s="761"/>
      <c r="AB5" s="762" t="s">
        <v>11</v>
      </c>
      <c r="AC5" s="761"/>
      <c r="AD5" s="762" t="s">
        <v>162</v>
      </c>
      <c r="AE5" s="761"/>
      <c r="AF5" s="762" t="s">
        <v>163</v>
      </c>
      <c r="AG5" s="763"/>
      <c r="AH5" s="384" t="s">
        <v>224</v>
      </c>
      <c r="AI5" s="764" t="s">
        <v>341</v>
      </c>
      <c r="AJ5" s="765"/>
      <c r="AK5" s="458"/>
      <c r="AL5" s="53"/>
      <c r="AM5" s="385" t="s">
        <v>334</v>
      </c>
      <c r="AN5" s="386" t="s">
        <v>342</v>
      </c>
      <c r="AO5" s="387"/>
    </row>
    <row r="6" spans="3:41">
      <c r="C6" s="53"/>
      <c r="D6" s="388" t="s">
        <v>154</v>
      </c>
      <c r="E6" s="389">
        <f>Z31</f>
        <v>1233.9099999999999</v>
      </c>
      <c r="F6" s="56"/>
      <c r="G6" s="56"/>
      <c r="H6" s="171" t="s">
        <v>462</v>
      </c>
      <c r="I6" s="457" t="s">
        <v>6</v>
      </c>
      <c r="J6" s="58" t="s">
        <v>7</v>
      </c>
      <c r="K6" s="316" t="s">
        <v>462</v>
      </c>
      <c r="L6" s="64" t="s">
        <v>166</v>
      </c>
      <c r="M6" s="67" t="s">
        <v>7</v>
      </c>
      <c r="N6" s="64" t="s">
        <v>166</v>
      </c>
      <c r="O6" s="67" t="s">
        <v>7</v>
      </c>
      <c r="P6" s="64" t="s">
        <v>166</v>
      </c>
      <c r="Q6" s="64" t="s">
        <v>7</v>
      </c>
      <c r="R6" s="87" t="s">
        <v>166</v>
      </c>
      <c r="S6" s="64" t="s">
        <v>7</v>
      </c>
      <c r="T6" s="87" t="s">
        <v>166</v>
      </c>
      <c r="U6" s="64" t="s">
        <v>7</v>
      </c>
      <c r="V6" s="87" t="s">
        <v>166</v>
      </c>
      <c r="W6" s="64" t="s">
        <v>7</v>
      </c>
      <c r="X6" s="390" t="s">
        <v>7</v>
      </c>
      <c r="Y6" s="391" t="s">
        <v>7</v>
      </c>
      <c r="Z6" s="446" t="s">
        <v>166</v>
      </c>
      <c r="AA6" s="67" t="s">
        <v>7</v>
      </c>
      <c r="AB6" s="64" t="s">
        <v>166</v>
      </c>
      <c r="AC6" s="64" t="s">
        <v>7</v>
      </c>
      <c r="AD6" s="87" t="s">
        <v>166</v>
      </c>
      <c r="AE6" s="67" t="s">
        <v>7</v>
      </c>
      <c r="AF6" s="64" t="s">
        <v>166</v>
      </c>
      <c r="AG6" s="64" t="s">
        <v>7</v>
      </c>
      <c r="AH6" s="296" t="s">
        <v>7</v>
      </c>
      <c r="AI6" s="64" t="s">
        <v>166</v>
      </c>
      <c r="AJ6" s="447" t="s">
        <v>7</v>
      </c>
      <c r="AK6" s="460"/>
      <c r="AL6" s="53"/>
      <c r="AM6" s="385" t="s">
        <v>335</v>
      </c>
      <c r="AN6" s="386" t="s">
        <v>343</v>
      </c>
      <c r="AO6" s="387"/>
    </row>
    <row r="7" spans="3:41">
      <c r="C7" s="53"/>
      <c r="D7" s="293" t="s">
        <v>227</v>
      </c>
      <c r="E7" s="290">
        <f>E5+E6</f>
        <v>2001.6499999999999</v>
      </c>
      <c r="F7" s="56"/>
      <c r="G7" s="56"/>
      <c r="H7" s="171"/>
      <c r="I7" s="56" t="s">
        <v>175</v>
      </c>
      <c r="J7" s="62">
        <v>1070.96</v>
      </c>
      <c r="K7" s="317"/>
      <c r="L7" s="53" t="s">
        <v>464</v>
      </c>
      <c r="M7" s="71">
        <v>500</v>
      </c>
      <c r="N7" s="56"/>
      <c r="O7" s="71"/>
      <c r="P7" s="53" t="s">
        <v>704</v>
      </c>
      <c r="Q7" s="71">
        <v>23.47</v>
      </c>
      <c r="R7" s="53" t="s">
        <v>183</v>
      </c>
      <c r="S7" s="71">
        <v>20</v>
      </c>
      <c r="T7" s="53" t="s">
        <v>637</v>
      </c>
      <c r="U7" s="71">
        <v>40.01</v>
      </c>
      <c r="V7" s="56" t="s">
        <v>705</v>
      </c>
      <c r="W7" s="56">
        <v>3</v>
      </c>
      <c r="X7" s="259"/>
      <c r="Y7" s="75">
        <v>7.26</v>
      </c>
      <c r="Z7" s="171" t="s">
        <v>706</v>
      </c>
      <c r="AA7" s="71">
        <v>8.5</v>
      </c>
      <c r="AB7" s="53" t="s">
        <v>564</v>
      </c>
      <c r="AC7" s="71">
        <v>6.9</v>
      </c>
      <c r="AD7" s="53" t="s">
        <v>679</v>
      </c>
      <c r="AE7" s="71">
        <v>250</v>
      </c>
      <c r="AF7" s="53" t="s">
        <v>707</v>
      </c>
      <c r="AG7" s="70">
        <v>43.5</v>
      </c>
      <c r="AH7" s="56"/>
      <c r="AI7" s="61" t="s">
        <v>708</v>
      </c>
      <c r="AJ7" s="70">
        <v>730</v>
      </c>
      <c r="AK7" s="56"/>
      <c r="AL7" s="53"/>
      <c r="AM7" s="385" t="s">
        <v>350</v>
      </c>
      <c r="AN7" s="386" t="s">
        <v>351</v>
      </c>
      <c r="AO7" s="387"/>
    </row>
    <row r="8" spans="3:41">
      <c r="C8" s="53"/>
      <c r="D8" s="294" t="s">
        <v>470</v>
      </c>
      <c r="E8" s="60">
        <f>J31</f>
        <v>1047.57</v>
      </c>
      <c r="F8" s="56"/>
      <c r="G8" s="56"/>
      <c r="H8" s="171" t="s">
        <v>709</v>
      </c>
      <c r="I8" s="56" t="s">
        <v>649</v>
      </c>
      <c r="J8" s="62">
        <v>523.94000000000005</v>
      </c>
      <c r="K8" s="317"/>
      <c r="L8" s="53" t="s">
        <v>472</v>
      </c>
      <c r="M8" s="71"/>
      <c r="N8" s="56"/>
      <c r="O8" s="71"/>
      <c r="P8" s="53"/>
      <c r="Q8" s="56"/>
      <c r="R8" s="75"/>
      <c r="S8" s="56"/>
      <c r="T8" s="75" t="s">
        <v>710</v>
      </c>
      <c r="U8" s="71">
        <v>13</v>
      </c>
      <c r="V8" s="56"/>
      <c r="W8" s="56"/>
      <c r="X8" s="259"/>
      <c r="Y8" s="75">
        <v>2.5</v>
      </c>
      <c r="Z8" s="171" t="s">
        <v>711</v>
      </c>
      <c r="AA8" s="71">
        <v>12.5</v>
      </c>
      <c r="AB8" s="53" t="s">
        <v>712</v>
      </c>
      <c r="AC8" s="56">
        <v>102.21</v>
      </c>
      <c r="AD8" s="75"/>
      <c r="AE8" s="71"/>
      <c r="AF8" s="53" t="s">
        <v>713</v>
      </c>
      <c r="AG8" s="56">
        <v>14.15</v>
      </c>
      <c r="AH8" s="297"/>
      <c r="AI8" s="56"/>
      <c r="AJ8" s="70"/>
      <c r="AK8" s="56"/>
      <c r="AL8" s="53"/>
      <c r="AM8" s="385" t="s">
        <v>357</v>
      </c>
      <c r="AN8" s="386" t="s">
        <v>358</v>
      </c>
      <c r="AO8" s="387"/>
    </row>
    <row r="9" spans="3:41">
      <c r="C9" s="53"/>
      <c r="D9" s="72"/>
      <c r="E9" s="126"/>
      <c r="F9" s="56"/>
      <c r="G9" s="56"/>
      <c r="H9" s="171" t="s">
        <v>714</v>
      </c>
      <c r="I9" s="56" t="s">
        <v>656</v>
      </c>
      <c r="J9" s="62">
        <v>624.08000000000004</v>
      </c>
      <c r="K9" s="317"/>
      <c r="L9" s="53" t="s">
        <v>628</v>
      </c>
      <c r="M9" s="71"/>
      <c r="N9" s="56"/>
      <c r="O9" s="71"/>
      <c r="P9" s="56"/>
      <c r="Q9" s="56"/>
      <c r="R9" s="75"/>
      <c r="S9" s="56"/>
      <c r="T9" s="75"/>
      <c r="U9" s="71"/>
      <c r="V9" s="56"/>
      <c r="W9" s="56"/>
      <c r="X9" s="259"/>
      <c r="Y9" s="75">
        <v>15</v>
      </c>
      <c r="Z9" s="171" t="s">
        <v>715</v>
      </c>
      <c r="AA9" s="71">
        <v>50</v>
      </c>
      <c r="AB9" s="53" t="s">
        <v>716</v>
      </c>
      <c r="AC9" s="56">
        <v>9</v>
      </c>
      <c r="AD9" s="75"/>
      <c r="AE9" s="71"/>
      <c r="AF9" s="53"/>
      <c r="AG9" s="56"/>
      <c r="AH9" s="297"/>
      <c r="AI9" s="56"/>
      <c r="AJ9" s="70"/>
      <c r="AK9" s="56"/>
      <c r="AL9" s="53"/>
      <c r="AM9" s="385" t="s">
        <v>363</v>
      </c>
      <c r="AN9" s="386" t="s">
        <v>364</v>
      </c>
      <c r="AO9" s="387"/>
    </row>
    <row r="10" spans="3:41">
      <c r="C10" s="53"/>
      <c r="D10" s="53"/>
      <c r="E10" s="56"/>
      <c r="F10" s="56"/>
      <c r="G10" s="56"/>
      <c r="H10" s="166" t="s">
        <v>717</v>
      </c>
      <c r="I10" s="56" t="s">
        <v>660</v>
      </c>
      <c r="J10" s="62">
        <v>476.31</v>
      </c>
      <c r="K10" s="317" t="s">
        <v>718</v>
      </c>
      <c r="L10" s="53" t="s">
        <v>719</v>
      </c>
      <c r="M10" s="71">
        <v>6</v>
      </c>
      <c r="N10" s="56"/>
      <c r="O10" s="71"/>
      <c r="P10" s="56"/>
      <c r="Q10" s="56"/>
      <c r="R10" s="75"/>
      <c r="S10" s="56"/>
      <c r="T10" s="75"/>
      <c r="U10" s="71"/>
      <c r="V10" s="56"/>
      <c r="W10" s="56"/>
      <c r="X10" s="259"/>
      <c r="Y10" s="273">
        <v>8.93</v>
      </c>
      <c r="Z10" s="56"/>
      <c r="AA10" s="71"/>
      <c r="AB10" s="53"/>
      <c r="AC10" s="56"/>
      <c r="AD10" s="75"/>
      <c r="AE10" s="71"/>
      <c r="AF10" s="53"/>
      <c r="AG10" s="56"/>
      <c r="AH10" s="297"/>
      <c r="AI10" s="56"/>
      <c r="AJ10" s="70"/>
      <c r="AK10" s="56"/>
      <c r="AL10" s="53"/>
      <c r="AM10" s="385" t="s">
        <v>201</v>
      </c>
      <c r="AN10" s="386" t="s">
        <v>202</v>
      </c>
      <c r="AO10" s="387"/>
    </row>
    <row r="11" spans="3:41">
      <c r="C11" s="53"/>
      <c r="D11" s="742" t="s">
        <v>392</v>
      </c>
      <c r="E11" s="743"/>
      <c r="F11" s="56"/>
      <c r="G11" s="56"/>
      <c r="H11" s="171" t="s">
        <v>720</v>
      </c>
      <c r="I11" s="56" t="s">
        <v>663</v>
      </c>
      <c r="J11" s="62">
        <v>523.92999999999995</v>
      </c>
      <c r="K11" s="317" t="s">
        <v>721</v>
      </c>
      <c r="L11" s="53" t="s">
        <v>722</v>
      </c>
      <c r="M11" s="71">
        <v>32</v>
      </c>
      <c r="N11" s="56"/>
      <c r="O11" s="71"/>
      <c r="P11" s="56"/>
      <c r="Q11" s="56"/>
      <c r="R11" s="75"/>
      <c r="S11" s="56"/>
      <c r="T11" s="75"/>
      <c r="U11" s="71"/>
      <c r="V11" s="56"/>
      <c r="W11" s="56"/>
      <c r="X11" s="259"/>
      <c r="Y11" s="273">
        <v>16.329999999999998</v>
      </c>
      <c r="Z11" s="56"/>
      <c r="AA11" s="71"/>
      <c r="AB11" s="53" t="s">
        <v>723</v>
      </c>
      <c r="AC11" s="56">
        <v>3.15</v>
      </c>
      <c r="AD11" s="75"/>
      <c r="AE11" s="71"/>
      <c r="AF11" s="53"/>
      <c r="AG11" s="56"/>
      <c r="AH11" s="297"/>
      <c r="AI11" s="56"/>
      <c r="AJ11" s="70"/>
      <c r="AK11" s="56"/>
      <c r="AL11" s="53"/>
      <c r="AM11" s="385" t="s">
        <v>340</v>
      </c>
      <c r="AN11" s="386" t="s">
        <v>367</v>
      </c>
      <c r="AO11" s="387"/>
    </row>
    <row r="12" spans="3:41">
      <c r="C12" s="53"/>
      <c r="D12" s="392" t="s">
        <v>394</v>
      </c>
      <c r="E12" s="393">
        <v>0</v>
      </c>
      <c r="F12" s="458"/>
      <c r="G12" s="458"/>
      <c r="H12" s="424" t="s">
        <v>717</v>
      </c>
      <c r="I12" s="56" t="s">
        <v>724</v>
      </c>
      <c r="J12" s="62">
        <v>50</v>
      </c>
      <c r="K12" s="317" t="s">
        <v>725</v>
      </c>
      <c r="L12" s="53" t="s">
        <v>726</v>
      </c>
      <c r="M12" s="71">
        <v>6</v>
      </c>
      <c r="N12" s="56"/>
      <c r="O12" s="71"/>
      <c r="P12" s="56"/>
      <c r="Q12" s="56"/>
      <c r="R12" s="75"/>
      <c r="S12" s="56"/>
      <c r="T12" s="75"/>
      <c r="U12" s="71"/>
      <c r="V12" s="56"/>
      <c r="W12" s="56"/>
      <c r="X12" s="259"/>
      <c r="Y12" s="75">
        <v>6.8</v>
      </c>
      <c r="Z12" s="171"/>
      <c r="AA12" s="71"/>
      <c r="AB12" s="53" t="s">
        <v>727</v>
      </c>
      <c r="AC12" s="56">
        <v>4</v>
      </c>
      <c r="AD12" s="75"/>
      <c r="AE12" s="71"/>
      <c r="AF12" s="53"/>
      <c r="AG12" s="56"/>
      <c r="AH12" s="297"/>
      <c r="AI12" s="56"/>
      <c r="AJ12" s="70"/>
      <c r="AK12" s="56"/>
      <c r="AL12" s="53"/>
      <c r="AM12" s="385" t="s">
        <v>9</v>
      </c>
      <c r="AN12" s="386" t="s">
        <v>210</v>
      </c>
      <c r="AO12" s="387"/>
    </row>
    <row r="13" spans="3:41">
      <c r="C13" s="53"/>
      <c r="D13" s="392" t="s">
        <v>396</v>
      </c>
      <c r="E13" s="394">
        <f>J27</f>
        <v>270</v>
      </c>
      <c r="F13" s="77"/>
      <c r="G13" s="77"/>
      <c r="H13" s="312" t="s">
        <v>728</v>
      </c>
      <c r="I13" s="56" t="s">
        <v>729</v>
      </c>
      <c r="J13" s="76">
        <v>50</v>
      </c>
      <c r="K13" s="280"/>
      <c r="L13" s="53"/>
      <c r="M13" s="71"/>
      <c r="N13" s="56"/>
      <c r="O13" s="71"/>
      <c r="P13" s="56"/>
      <c r="Q13" s="56"/>
      <c r="R13" s="75"/>
      <c r="S13" s="56"/>
      <c r="T13" s="75"/>
      <c r="U13" s="71"/>
      <c r="V13" s="56"/>
      <c r="W13" s="56"/>
      <c r="X13" s="259"/>
      <c r="Y13" s="75">
        <v>4.5</v>
      </c>
      <c r="Z13" s="171"/>
      <c r="AA13" s="71"/>
      <c r="AB13" s="53"/>
      <c r="AC13" s="56"/>
      <c r="AD13" s="75"/>
      <c r="AE13" s="71"/>
      <c r="AF13" s="53"/>
      <c r="AG13" s="56"/>
      <c r="AH13" s="297"/>
      <c r="AI13" s="56"/>
      <c r="AJ13" s="70"/>
      <c r="AK13" s="56"/>
      <c r="AL13" s="53"/>
      <c r="AM13" s="395" t="s">
        <v>159</v>
      </c>
      <c r="AN13" s="396" t="s">
        <v>368</v>
      </c>
      <c r="AO13" s="397"/>
    </row>
    <row r="14" spans="3:41">
      <c r="C14" s="53"/>
      <c r="D14" s="420"/>
      <c r="E14" s="421"/>
      <c r="F14" s="379"/>
      <c r="G14" s="77"/>
      <c r="H14" s="312"/>
      <c r="I14" s="77"/>
      <c r="J14" s="76"/>
      <c r="K14" s="280"/>
      <c r="L14" s="53"/>
      <c r="M14" s="71"/>
      <c r="N14" s="56"/>
      <c r="O14" s="71"/>
      <c r="P14" s="56"/>
      <c r="Q14" s="56"/>
      <c r="R14" s="75"/>
      <c r="S14" s="56"/>
      <c r="T14" s="75"/>
      <c r="U14" s="71"/>
      <c r="V14" s="56"/>
      <c r="W14" s="56"/>
      <c r="X14" s="259"/>
      <c r="Y14" s="75">
        <v>3.23</v>
      </c>
      <c r="Z14" s="171"/>
      <c r="AA14" s="71"/>
      <c r="AB14" s="53"/>
      <c r="AC14" s="56"/>
      <c r="AD14" s="75"/>
      <c r="AE14" s="71"/>
      <c r="AF14" s="53"/>
      <c r="AG14" s="56"/>
      <c r="AH14" s="297"/>
      <c r="AI14" s="56"/>
      <c r="AJ14" s="70"/>
      <c r="AK14" s="56"/>
      <c r="AL14" s="53"/>
      <c r="AM14" s="395" t="s">
        <v>161</v>
      </c>
      <c r="AN14" s="396" t="s">
        <v>369</v>
      </c>
      <c r="AO14" s="397"/>
    </row>
    <row r="15" spans="3:41">
      <c r="C15" s="53"/>
      <c r="D15" s="377"/>
      <c r="E15" s="394"/>
      <c r="F15" s="77"/>
      <c r="G15" s="77"/>
      <c r="H15" s="312"/>
      <c r="I15" s="77"/>
      <c r="J15" s="76"/>
      <c r="K15" s="280"/>
      <c r="L15" s="53"/>
      <c r="M15" s="71"/>
      <c r="N15" s="56"/>
      <c r="O15" s="71"/>
      <c r="P15" s="56"/>
      <c r="Q15" s="56"/>
      <c r="R15" s="75"/>
      <c r="S15" s="56"/>
      <c r="T15" s="75"/>
      <c r="U15" s="71"/>
      <c r="V15" s="56"/>
      <c r="W15" s="56"/>
      <c r="X15" s="259"/>
      <c r="Y15" s="75">
        <v>23.16</v>
      </c>
      <c r="Z15" s="171"/>
      <c r="AA15" s="71"/>
      <c r="AB15" s="53"/>
      <c r="AC15" s="56"/>
      <c r="AD15" s="75"/>
      <c r="AE15" s="71"/>
      <c r="AF15" s="53"/>
      <c r="AG15" s="56"/>
      <c r="AH15" s="297"/>
      <c r="AI15" s="56"/>
      <c r="AJ15" s="70"/>
      <c r="AK15" s="56"/>
      <c r="AL15" s="53"/>
      <c r="AM15" s="395" t="s">
        <v>162</v>
      </c>
      <c r="AN15" s="396" t="s">
        <v>370</v>
      </c>
      <c r="AO15" s="397"/>
    </row>
    <row r="16" spans="3:41">
      <c r="C16" s="53"/>
      <c r="D16" s="377"/>
      <c r="E16" s="398"/>
      <c r="F16" s="77"/>
      <c r="G16" s="77"/>
      <c r="H16" s="312"/>
      <c r="I16" s="56"/>
      <c r="J16" s="62"/>
      <c r="K16" s="317"/>
      <c r="L16" s="53"/>
      <c r="M16" s="71"/>
      <c r="N16" s="56"/>
      <c r="O16" s="71"/>
      <c r="P16" s="56"/>
      <c r="Q16" s="56"/>
      <c r="R16" s="75"/>
      <c r="S16" s="56"/>
      <c r="T16" s="69"/>
      <c r="U16" s="71"/>
      <c r="V16" s="56"/>
      <c r="W16" s="56"/>
      <c r="X16" s="259"/>
      <c r="Y16" s="75">
        <v>8.5</v>
      </c>
      <c r="Z16" s="171"/>
      <c r="AA16" s="71"/>
      <c r="AB16" s="53"/>
      <c r="AC16" s="56"/>
      <c r="AD16" s="75"/>
      <c r="AE16" s="71"/>
      <c r="AF16" s="53"/>
      <c r="AG16" s="56"/>
      <c r="AH16" s="297"/>
      <c r="AI16" s="56"/>
      <c r="AJ16" s="70"/>
      <c r="AK16" s="56"/>
      <c r="AL16" s="53"/>
      <c r="AM16" s="395" t="s">
        <v>163</v>
      </c>
      <c r="AN16" s="396" t="s">
        <v>371</v>
      </c>
      <c r="AO16" s="397"/>
    </row>
    <row r="17" spans="3:41">
      <c r="C17" s="53"/>
      <c r="D17" s="399"/>
      <c r="E17" s="400"/>
      <c r="F17" s="56"/>
      <c r="G17" s="56"/>
      <c r="H17" s="171"/>
      <c r="I17" s="458"/>
      <c r="J17" s="80"/>
      <c r="K17" s="318"/>
      <c r="L17" s="53"/>
      <c r="M17" s="71"/>
      <c r="N17" s="56"/>
      <c r="O17" s="71"/>
      <c r="P17" s="56"/>
      <c r="Q17" s="56"/>
      <c r="R17" s="75"/>
      <c r="S17" s="56"/>
      <c r="T17" s="75"/>
      <c r="U17" s="71"/>
      <c r="V17" s="56"/>
      <c r="W17" s="56"/>
      <c r="X17" s="259"/>
      <c r="Y17" s="75">
        <v>3.5</v>
      </c>
      <c r="Z17" s="171"/>
      <c r="AA17" s="71"/>
      <c r="AB17" s="53"/>
      <c r="AC17" s="56"/>
      <c r="AD17" s="75"/>
      <c r="AE17" s="71"/>
      <c r="AF17" s="53"/>
      <c r="AG17" s="56"/>
      <c r="AH17" s="297"/>
      <c r="AI17" s="56"/>
      <c r="AJ17" s="70"/>
      <c r="AK17" s="56"/>
      <c r="AL17" s="53"/>
      <c r="AM17" s="395" t="s">
        <v>224</v>
      </c>
      <c r="AN17" s="396" t="s">
        <v>225</v>
      </c>
      <c r="AO17" s="397"/>
    </row>
    <row r="18" spans="3:41" ht="17.100000000000001" thickBot="1">
      <c r="C18" s="53"/>
      <c r="D18" s="401" t="s">
        <v>227</v>
      </c>
      <c r="E18" s="402">
        <f>SUM(E12:E17)</f>
        <v>270</v>
      </c>
      <c r="F18" s="458"/>
      <c r="G18" s="458"/>
      <c r="H18" s="311"/>
      <c r="I18" s="77"/>
      <c r="J18" s="76"/>
      <c r="K18" s="280"/>
      <c r="L18" s="53"/>
      <c r="M18" s="71"/>
      <c r="N18" s="56"/>
      <c r="O18" s="71"/>
      <c r="P18" s="56"/>
      <c r="Q18" s="56"/>
      <c r="R18" s="75"/>
      <c r="S18" s="56"/>
      <c r="T18" s="75"/>
      <c r="U18" s="71"/>
      <c r="V18" s="56"/>
      <c r="W18" s="56"/>
      <c r="X18" s="259"/>
      <c r="Y18" s="75">
        <v>8.5500000000000007</v>
      </c>
      <c r="Z18" s="171"/>
      <c r="AA18" s="71"/>
      <c r="AB18" s="53"/>
      <c r="AC18" s="56"/>
      <c r="AD18" s="75"/>
      <c r="AE18" s="71"/>
      <c r="AF18" s="53"/>
      <c r="AG18" s="76"/>
      <c r="AH18" s="298"/>
      <c r="AI18" s="76"/>
      <c r="AJ18" s="81"/>
      <c r="AK18" s="76"/>
      <c r="AL18" s="53"/>
      <c r="AM18" s="403" t="s">
        <v>341</v>
      </c>
      <c r="AN18" s="404" t="s">
        <v>372</v>
      </c>
      <c r="AO18" s="405"/>
    </row>
    <row r="19" spans="3:41">
      <c r="C19" s="53"/>
      <c r="D19" s="53"/>
      <c r="E19" s="53"/>
      <c r="F19" s="77"/>
      <c r="G19" s="77"/>
      <c r="H19" s="312"/>
      <c r="I19" s="77"/>
      <c r="J19" s="76"/>
      <c r="K19" s="280"/>
      <c r="L19" s="53"/>
      <c r="M19" s="71"/>
      <c r="N19" s="56"/>
      <c r="O19" s="71"/>
      <c r="P19" s="56"/>
      <c r="Q19" s="56"/>
      <c r="R19" s="75"/>
      <c r="S19" s="56"/>
      <c r="T19" s="75"/>
      <c r="U19" s="71"/>
      <c r="V19" s="56"/>
      <c r="W19" s="56"/>
      <c r="X19" s="259"/>
      <c r="Y19" s="75">
        <v>16</v>
      </c>
      <c r="Z19" s="171"/>
      <c r="AA19" s="71"/>
      <c r="AB19" s="53"/>
      <c r="AC19" s="56"/>
      <c r="AD19" s="75"/>
      <c r="AE19" s="71"/>
      <c r="AF19" s="53"/>
      <c r="AG19" s="56"/>
      <c r="AH19" s="297"/>
      <c r="AI19" s="56"/>
      <c r="AJ19" s="70"/>
      <c r="AK19" s="56"/>
      <c r="AL19" s="53"/>
      <c r="AM19" s="53"/>
      <c r="AN19" s="53"/>
      <c r="AO19" s="53"/>
    </row>
    <row r="20" spans="3:41">
      <c r="C20" s="53"/>
      <c r="D20" s="53"/>
      <c r="E20" s="53"/>
      <c r="F20" s="77"/>
      <c r="G20" s="77"/>
      <c r="H20" s="312"/>
      <c r="I20" s="77"/>
      <c r="J20" s="76"/>
      <c r="K20" s="280"/>
      <c r="L20" s="53"/>
      <c r="M20" s="71"/>
      <c r="N20" s="56"/>
      <c r="O20" s="71"/>
      <c r="P20" s="56"/>
      <c r="Q20" s="56"/>
      <c r="R20" s="75"/>
      <c r="S20" s="56"/>
      <c r="T20" s="75"/>
      <c r="U20" s="71"/>
      <c r="V20" s="56"/>
      <c r="W20" s="56"/>
      <c r="X20" s="259"/>
      <c r="Y20" s="75"/>
      <c r="Z20" s="171"/>
      <c r="AA20" s="71"/>
      <c r="AB20" s="53"/>
      <c r="AC20" s="56"/>
      <c r="AD20" s="75"/>
      <c r="AE20" s="71"/>
      <c r="AF20" s="53"/>
      <c r="AG20" s="56"/>
      <c r="AH20" s="297"/>
      <c r="AI20" s="56"/>
      <c r="AJ20" s="70"/>
      <c r="AK20" s="56"/>
      <c r="AL20" s="53"/>
      <c r="AM20" s="53"/>
      <c r="AN20" s="53"/>
      <c r="AO20" s="53"/>
    </row>
    <row r="21" spans="3:41">
      <c r="C21" s="53"/>
      <c r="D21" s="53"/>
      <c r="E21" s="53"/>
      <c r="F21" s="77"/>
      <c r="G21" s="77"/>
      <c r="H21" s="312"/>
      <c r="I21" s="77"/>
      <c r="J21" s="76"/>
      <c r="K21" s="280"/>
      <c r="L21" s="53"/>
      <c r="M21" s="71"/>
      <c r="N21" s="56"/>
      <c r="O21" s="71"/>
      <c r="P21" s="56"/>
      <c r="Q21" s="56"/>
      <c r="R21" s="75"/>
      <c r="S21" s="56"/>
      <c r="T21" s="75"/>
      <c r="U21" s="71"/>
      <c r="V21" s="56"/>
      <c r="W21" s="56"/>
      <c r="X21" s="259"/>
      <c r="Y21" s="75"/>
      <c r="Z21" s="171"/>
      <c r="AA21" s="71"/>
      <c r="AB21" s="53"/>
      <c r="AC21" s="56"/>
      <c r="AD21" s="75"/>
      <c r="AE21" s="71"/>
      <c r="AF21" s="53"/>
      <c r="AG21" s="56"/>
      <c r="AH21" s="297"/>
      <c r="AI21" s="56"/>
      <c r="AJ21" s="70"/>
      <c r="AK21" s="56"/>
      <c r="AL21" s="53"/>
      <c r="AM21" s="53"/>
      <c r="AN21" s="53"/>
      <c r="AO21" s="53"/>
    </row>
    <row r="22" spans="3:41">
      <c r="C22" s="53"/>
      <c r="D22" s="53"/>
      <c r="E22" s="53"/>
      <c r="F22" s="77"/>
      <c r="G22" s="77"/>
      <c r="H22" s="312"/>
      <c r="I22" s="53"/>
      <c r="J22" s="74"/>
      <c r="K22" s="319"/>
      <c r="L22" s="53"/>
      <c r="M22" s="71"/>
      <c r="N22" s="56"/>
      <c r="O22" s="71"/>
      <c r="P22" s="56"/>
      <c r="Q22" s="56"/>
      <c r="R22" s="75"/>
      <c r="S22" s="56"/>
      <c r="T22" s="75"/>
      <c r="U22" s="71"/>
      <c r="V22" s="56"/>
      <c r="W22" s="56"/>
      <c r="X22" s="259"/>
      <c r="Y22" s="75"/>
      <c r="Z22" s="171"/>
      <c r="AA22" s="71"/>
      <c r="AB22" s="53"/>
      <c r="AC22" s="56"/>
      <c r="AD22" s="75"/>
      <c r="AE22" s="71"/>
      <c r="AF22" s="53"/>
      <c r="AG22" s="56"/>
      <c r="AH22" s="297"/>
      <c r="AI22" s="56"/>
      <c r="AJ22" s="70"/>
      <c r="AK22" s="56"/>
      <c r="AL22" s="53"/>
      <c r="AM22" s="53"/>
      <c r="AN22" s="53"/>
      <c r="AO22" s="406"/>
    </row>
    <row r="23" spans="3:41">
      <c r="C23" s="53"/>
      <c r="D23" s="53"/>
      <c r="E23" s="53"/>
      <c r="F23" s="77"/>
      <c r="G23" s="77"/>
      <c r="H23" s="312"/>
      <c r="I23" s="53"/>
      <c r="J23" s="74"/>
      <c r="K23" s="319"/>
      <c r="L23" s="53"/>
      <c r="M23" s="71"/>
      <c r="N23" s="56"/>
      <c r="O23" s="71"/>
      <c r="P23" s="56"/>
      <c r="Q23" s="56"/>
      <c r="R23" s="75"/>
      <c r="S23" s="56"/>
      <c r="T23" s="75"/>
      <c r="U23" s="71"/>
      <c r="V23" s="56"/>
      <c r="W23" s="56"/>
      <c r="X23" s="259"/>
      <c r="Y23" s="75"/>
      <c r="Z23" s="171"/>
      <c r="AA23" s="71"/>
      <c r="AB23" s="53"/>
      <c r="AC23" s="56"/>
      <c r="AD23" s="75"/>
      <c r="AE23" s="71"/>
      <c r="AF23" s="53"/>
      <c r="AG23" s="56"/>
      <c r="AH23" s="297"/>
      <c r="AI23" s="56"/>
      <c r="AJ23" s="70"/>
      <c r="AK23" s="56"/>
      <c r="AL23" s="53"/>
      <c r="AM23" s="53"/>
      <c r="AN23" s="53"/>
      <c r="AO23" s="406"/>
    </row>
    <row r="24" spans="3:41">
      <c r="C24" s="53"/>
      <c r="D24" s="53"/>
      <c r="E24" s="53"/>
      <c r="F24" s="77"/>
      <c r="G24" s="77"/>
      <c r="H24" s="312"/>
      <c r="I24" s="53"/>
      <c r="J24" s="74"/>
      <c r="K24" s="319"/>
      <c r="L24" s="53"/>
      <c r="M24" s="71"/>
      <c r="N24" s="56"/>
      <c r="O24" s="71"/>
      <c r="P24" s="56"/>
      <c r="Q24" s="56"/>
      <c r="R24" s="75"/>
      <c r="S24" s="56"/>
      <c r="T24" s="75"/>
      <c r="U24" s="71"/>
      <c r="V24" s="56"/>
      <c r="W24" s="56"/>
      <c r="X24" s="259"/>
      <c r="Y24" s="75"/>
      <c r="Z24" s="171"/>
      <c r="AA24" s="71"/>
      <c r="AB24" s="53"/>
      <c r="AC24" s="56"/>
      <c r="AD24" s="75"/>
      <c r="AE24" s="71"/>
      <c r="AF24" s="53"/>
      <c r="AG24" s="56"/>
      <c r="AH24" s="297"/>
      <c r="AI24" s="56"/>
      <c r="AJ24" s="70"/>
      <c r="AK24" s="56"/>
      <c r="AL24" s="53"/>
      <c r="AM24" s="53"/>
      <c r="AN24" s="53"/>
      <c r="AO24" s="406"/>
    </row>
    <row r="25" spans="3:41">
      <c r="C25" s="53"/>
      <c r="D25" s="53"/>
      <c r="E25" s="53"/>
      <c r="F25" s="53"/>
      <c r="G25" s="53"/>
      <c r="H25" s="166"/>
      <c r="I25" s="53"/>
      <c r="J25" s="74"/>
      <c r="K25" s="319"/>
      <c r="L25" s="53"/>
      <c r="M25" s="71"/>
      <c r="N25" s="56"/>
      <c r="O25" s="71"/>
      <c r="P25" s="56"/>
      <c r="Q25" s="56"/>
      <c r="R25" s="75"/>
      <c r="S25" s="56"/>
      <c r="T25" s="75"/>
      <c r="U25" s="71"/>
      <c r="V25" s="56"/>
      <c r="W25" s="56"/>
      <c r="X25" s="259"/>
      <c r="Y25" s="75"/>
      <c r="Z25" s="171"/>
      <c r="AA25" s="71"/>
      <c r="AB25" s="53"/>
      <c r="AC25" s="56"/>
      <c r="AD25" s="75"/>
      <c r="AE25" s="71"/>
      <c r="AF25" s="53"/>
      <c r="AG25" s="56"/>
      <c r="AH25" s="297"/>
      <c r="AI25" s="56"/>
      <c r="AJ25" s="70"/>
      <c r="AK25" s="56"/>
      <c r="AL25" s="53"/>
      <c r="AM25" s="53"/>
      <c r="AN25" s="53"/>
      <c r="AO25" s="406"/>
    </row>
    <row r="26" spans="3:41">
      <c r="C26" s="53"/>
      <c r="D26" s="53"/>
      <c r="E26" s="53"/>
      <c r="F26" s="53"/>
      <c r="G26" s="53"/>
      <c r="H26" s="166"/>
      <c r="I26" s="53" t="s">
        <v>227</v>
      </c>
      <c r="J26" s="62">
        <f>SUM(J7:J25)</f>
        <v>3319.22</v>
      </c>
      <c r="K26" s="317"/>
      <c r="L26" s="53"/>
      <c r="M26" s="71"/>
      <c r="N26" s="56"/>
      <c r="O26" s="71"/>
      <c r="P26" s="56"/>
      <c r="Q26" s="56"/>
      <c r="R26" s="75"/>
      <c r="S26" s="56"/>
      <c r="T26" s="75"/>
      <c r="U26" s="71"/>
      <c r="V26" s="56"/>
      <c r="W26" s="56"/>
      <c r="X26" s="259"/>
      <c r="Y26" s="75"/>
      <c r="Z26" s="171"/>
      <c r="AA26" s="71"/>
      <c r="AB26" s="53"/>
      <c r="AC26" s="56"/>
      <c r="AD26" s="75"/>
      <c r="AE26" s="71"/>
      <c r="AF26" s="53"/>
      <c r="AG26" s="56"/>
      <c r="AH26" s="297"/>
      <c r="AI26" s="56"/>
      <c r="AJ26" s="70"/>
      <c r="AK26" s="56"/>
      <c r="AL26" s="53"/>
      <c r="AM26" s="53"/>
      <c r="AN26" s="53"/>
      <c r="AO26" s="406"/>
    </row>
    <row r="27" spans="3:41">
      <c r="C27" s="53"/>
      <c r="D27" s="53"/>
      <c r="E27" s="53"/>
      <c r="F27" s="53"/>
      <c r="G27" s="53"/>
      <c r="H27" s="166"/>
      <c r="I27" s="53" t="s">
        <v>16</v>
      </c>
      <c r="J27" s="62">
        <v>270</v>
      </c>
      <c r="K27" s="317"/>
      <c r="L27" s="53"/>
      <c r="M27" s="71"/>
      <c r="N27" s="56"/>
      <c r="O27" s="71"/>
      <c r="P27" s="56"/>
      <c r="Q27" s="56"/>
      <c r="R27" s="75"/>
      <c r="S27" s="56"/>
      <c r="T27" s="75"/>
      <c r="U27" s="71"/>
      <c r="V27" s="56"/>
      <c r="W27" s="56"/>
      <c r="X27" s="259"/>
      <c r="Y27" s="75"/>
      <c r="Z27" s="171"/>
      <c r="AA27" s="71"/>
      <c r="AB27" s="53"/>
      <c r="AC27" s="56"/>
      <c r="AD27" s="75"/>
      <c r="AE27" s="71"/>
      <c r="AF27" s="53"/>
      <c r="AG27" s="56"/>
      <c r="AH27" s="297"/>
      <c r="AI27" s="56"/>
      <c r="AJ27" s="70"/>
      <c r="AK27" s="56"/>
      <c r="AL27" s="53"/>
      <c r="AM27" s="53"/>
      <c r="AN27" s="53"/>
      <c r="AO27" s="406"/>
    </row>
    <row r="28" spans="3:41">
      <c r="C28" s="53"/>
      <c r="D28" s="53"/>
      <c r="E28" s="53"/>
      <c r="F28" s="53"/>
      <c r="G28" s="53"/>
      <c r="H28" s="166"/>
      <c r="I28" s="53" t="s">
        <v>373</v>
      </c>
      <c r="J28" s="62">
        <v>0</v>
      </c>
      <c r="K28" s="317"/>
      <c r="L28" s="53"/>
      <c r="M28" s="71"/>
      <c r="N28" s="56"/>
      <c r="O28" s="71"/>
      <c r="P28" s="56"/>
      <c r="Q28" s="56"/>
      <c r="R28" s="75"/>
      <c r="S28" s="56"/>
      <c r="T28" s="75"/>
      <c r="U28" s="71"/>
      <c r="V28" s="56"/>
      <c r="W28" s="56"/>
      <c r="X28" s="259"/>
      <c r="Y28" s="75"/>
      <c r="Z28" s="171"/>
      <c r="AA28" s="71"/>
      <c r="AB28" s="53"/>
      <c r="AC28" s="56"/>
      <c r="AD28" s="75"/>
      <c r="AE28" s="71"/>
      <c r="AF28" s="53"/>
      <c r="AG28" s="56"/>
      <c r="AH28" s="297"/>
      <c r="AI28" s="56"/>
      <c r="AJ28" s="70"/>
      <c r="AK28" s="56"/>
      <c r="AL28" s="53"/>
      <c r="AM28" s="53"/>
      <c r="AN28" s="53"/>
      <c r="AO28" s="53"/>
    </row>
    <row r="29" spans="3:41">
      <c r="C29" s="53"/>
      <c r="D29" s="53"/>
      <c r="E29" s="53"/>
      <c r="F29" s="53"/>
      <c r="G29" s="53"/>
      <c r="H29" s="166"/>
      <c r="I29" s="53"/>
      <c r="J29" s="62"/>
      <c r="K29" s="317"/>
      <c r="L29" s="53"/>
      <c r="M29" s="71"/>
      <c r="N29" s="56"/>
      <c r="O29" s="71"/>
      <c r="P29" s="56"/>
      <c r="Q29" s="56"/>
      <c r="R29" s="75"/>
      <c r="S29" s="56"/>
      <c r="T29" s="75"/>
      <c r="U29" s="71"/>
      <c r="V29" s="56"/>
      <c r="W29" s="56"/>
      <c r="X29" s="259"/>
      <c r="Y29" s="75"/>
      <c r="Z29" s="171"/>
      <c r="AA29" s="71"/>
      <c r="AB29" s="53"/>
      <c r="AC29" s="56"/>
      <c r="AD29" s="75"/>
      <c r="AE29" s="71"/>
      <c r="AF29" s="53"/>
      <c r="AG29" s="56"/>
      <c r="AH29" s="297"/>
      <c r="AI29" s="56"/>
      <c r="AJ29" s="70"/>
      <c r="AK29" s="56"/>
      <c r="AL29" s="53"/>
      <c r="AM29" s="53"/>
      <c r="AN29" s="53"/>
      <c r="AO29" s="53"/>
    </row>
    <row r="30" spans="3:41">
      <c r="C30" s="53"/>
      <c r="D30" s="53"/>
      <c r="E30" s="56"/>
      <c r="F30" s="53"/>
      <c r="G30" s="53"/>
      <c r="H30" s="736" t="s">
        <v>229</v>
      </c>
      <c r="I30" s="737"/>
      <c r="J30" s="407">
        <f>J26-J27-J28</f>
        <v>3049.22</v>
      </c>
      <c r="K30" s="738">
        <f>SUM(M7:M29)</f>
        <v>544</v>
      </c>
      <c r="L30" s="739"/>
      <c r="M30" s="740"/>
      <c r="N30" s="725">
        <f>SUM(O7:O29)</f>
        <v>0</v>
      </c>
      <c r="O30" s="740"/>
      <c r="P30" s="725">
        <f>SUM(Q7:Q29)</f>
        <v>23.47</v>
      </c>
      <c r="Q30" s="726"/>
      <c r="R30" s="741">
        <f>SUM(S7:S29)</f>
        <v>20</v>
      </c>
      <c r="S30" s="740"/>
      <c r="T30" s="725">
        <f>SUM(U7:U29)</f>
        <v>53.01</v>
      </c>
      <c r="U30" s="740"/>
      <c r="V30" s="725">
        <f>SUM(W7:W29)</f>
        <v>3</v>
      </c>
      <c r="W30" s="726"/>
      <c r="X30" s="408">
        <f>SUM(X7:X29)</f>
        <v>0</v>
      </c>
      <c r="Y30" s="409">
        <f>SUM(Y7:Y29)</f>
        <v>124.25999999999999</v>
      </c>
      <c r="Z30" s="727">
        <f>SUM(AA7:AA29)</f>
        <v>71</v>
      </c>
      <c r="AA30" s="731"/>
      <c r="AB30" s="732">
        <f>SUM(AC7:AC29)</f>
        <v>125.26</v>
      </c>
      <c r="AC30" s="728"/>
      <c r="AD30" s="730">
        <f>SUM(AE7:AE29)</f>
        <v>250</v>
      </c>
      <c r="AE30" s="731"/>
      <c r="AF30" s="732">
        <f>SUM(AG7:AG29)</f>
        <v>57.65</v>
      </c>
      <c r="AG30" s="733"/>
      <c r="AH30" s="410">
        <f>SUM(AH7:AH29)</f>
        <v>0</v>
      </c>
      <c r="AI30" s="734">
        <f>SUM(AJ7:AJ29)</f>
        <v>730</v>
      </c>
      <c r="AJ30" s="735"/>
      <c r="AK30" s="56"/>
      <c r="AL30" s="53"/>
      <c r="AM30" s="53"/>
      <c r="AN30" s="53"/>
      <c r="AO30" s="53"/>
    </row>
    <row r="31" spans="3:41" ht="17.100000000000001" thickBot="1">
      <c r="C31" s="53"/>
      <c r="D31" s="53"/>
      <c r="E31" s="53"/>
      <c r="F31" s="53"/>
      <c r="G31" s="53"/>
      <c r="H31" s="714" t="s">
        <v>470</v>
      </c>
      <c r="I31" s="715"/>
      <c r="J31" s="411">
        <f>J30-K32</f>
        <v>1047.57</v>
      </c>
      <c r="K31" s="716">
        <f>SUM(K30:Y30)</f>
        <v>767.74</v>
      </c>
      <c r="L31" s="717"/>
      <c r="M31" s="717"/>
      <c r="N31" s="717"/>
      <c r="O31" s="717"/>
      <c r="P31" s="717"/>
      <c r="Q31" s="717"/>
      <c r="R31" s="717"/>
      <c r="S31" s="717"/>
      <c r="T31" s="717"/>
      <c r="U31" s="717"/>
      <c r="V31" s="717"/>
      <c r="W31" s="717"/>
      <c r="X31" s="717"/>
      <c r="Y31" s="718"/>
      <c r="Z31" s="719">
        <f>SUM(Z30:AJ30)</f>
        <v>1233.9099999999999</v>
      </c>
      <c r="AA31" s="720"/>
      <c r="AB31" s="720"/>
      <c r="AC31" s="720"/>
      <c r="AD31" s="720"/>
      <c r="AE31" s="720"/>
      <c r="AF31" s="720"/>
      <c r="AG31" s="720"/>
      <c r="AH31" s="720"/>
      <c r="AI31" s="720"/>
      <c r="AJ31" s="721"/>
      <c r="AK31" s="56"/>
      <c r="AL31" s="53"/>
      <c r="AM31" s="56"/>
      <c r="AN31" s="53"/>
      <c r="AO31" s="53"/>
    </row>
    <row r="32" spans="3:41" ht="21" thickTop="1" thickBot="1">
      <c r="C32" s="53"/>
      <c r="D32" s="53"/>
      <c r="E32" s="53"/>
      <c r="F32" s="53"/>
      <c r="G32" s="53"/>
      <c r="H32" s="53"/>
      <c r="I32" s="56"/>
      <c r="J32" s="62"/>
      <c r="K32" s="722">
        <f>SUM(K31:AJ31)</f>
        <v>2001.6499999999999</v>
      </c>
      <c r="L32" s="723"/>
      <c r="M32" s="723"/>
      <c r="N32" s="723"/>
      <c r="O32" s="723"/>
      <c r="P32" s="723"/>
      <c r="Q32" s="723"/>
      <c r="R32" s="723"/>
      <c r="S32" s="723"/>
      <c r="T32" s="723"/>
      <c r="U32" s="723"/>
      <c r="V32" s="723"/>
      <c r="W32" s="723"/>
      <c r="X32" s="723"/>
      <c r="Y32" s="723"/>
      <c r="Z32" s="723"/>
      <c r="AA32" s="723"/>
      <c r="AB32" s="723"/>
      <c r="AC32" s="723"/>
      <c r="AD32" s="723"/>
      <c r="AE32" s="723"/>
      <c r="AF32" s="723"/>
      <c r="AG32" s="723"/>
      <c r="AH32" s="723"/>
      <c r="AI32" s="723"/>
      <c r="AJ32" s="724"/>
      <c r="AK32" s="56"/>
      <c r="AL32" s="53"/>
      <c r="AM32" s="53"/>
      <c r="AN32" s="53"/>
      <c r="AO32" s="53"/>
    </row>
    <row r="33" spans="3:41"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spans="3:41"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spans="3:41"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 spans="3:41"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spans="3:41">
      <c r="C37" s="53"/>
      <c r="D37" s="53"/>
      <c r="E37" s="53"/>
      <c r="F37" s="53"/>
      <c r="G37" s="53"/>
      <c r="H37" s="412">
        <v>730</v>
      </c>
      <c r="I37" s="412" t="s">
        <v>699</v>
      </c>
      <c r="J37" s="412"/>
      <c r="K37" s="412"/>
      <c r="L37" s="56"/>
      <c r="M37" s="56"/>
      <c r="N37" s="56"/>
      <c r="O37" s="56"/>
      <c r="P37" s="56"/>
      <c r="Q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spans="3:41" ht="24.95" thickBot="1">
      <c r="C38" s="53"/>
      <c r="D38" s="53"/>
      <c r="E38" s="53"/>
      <c r="F38" s="53"/>
      <c r="G38" s="53"/>
      <c r="H38" s="432" t="s">
        <v>730</v>
      </c>
      <c r="I38" s="53"/>
      <c r="J38" s="53"/>
      <c r="K38" s="53"/>
      <c r="L38" s="53"/>
      <c r="M38" s="53"/>
      <c r="N38" s="53"/>
      <c r="O38" s="53"/>
      <c r="P38" s="53"/>
      <c r="Q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spans="3:41" ht="27.95" customHeight="1">
      <c r="H39" s="429" t="s">
        <v>731</v>
      </c>
      <c r="I39" s="430" t="s">
        <v>732</v>
      </c>
      <c r="J39" s="430"/>
      <c r="K39" s="430"/>
      <c r="L39" s="430"/>
      <c r="M39" s="430"/>
      <c r="N39" s="430"/>
      <c r="O39" s="430"/>
      <c r="P39" s="430"/>
      <c r="Q39" s="431"/>
    </row>
    <row r="40" spans="3:41" ht="24.95" customHeight="1">
      <c r="H40" s="20" t="s">
        <v>733</v>
      </c>
      <c r="I40" t="s">
        <v>734</v>
      </c>
      <c r="Q40" s="28"/>
    </row>
    <row r="41" spans="3:41" ht="21.95" customHeight="1">
      <c r="H41" s="20" t="s">
        <v>735</v>
      </c>
      <c r="I41" t="s">
        <v>736</v>
      </c>
      <c r="Q41" s="28"/>
    </row>
    <row r="42" spans="3:41" ht="26.1" customHeight="1">
      <c r="H42" s="20" t="s">
        <v>737</v>
      </c>
      <c r="I42" t="s">
        <v>738</v>
      </c>
      <c r="Q42" s="28"/>
    </row>
    <row r="43" spans="3:41">
      <c r="H43" s="20"/>
      <c r="Q43" s="28"/>
    </row>
    <row r="44" spans="3:41" ht="23.1" customHeight="1">
      <c r="H44" s="20" t="s">
        <v>739</v>
      </c>
      <c r="Q44" s="28"/>
    </row>
    <row r="45" spans="3:41" ht="21" customHeight="1" thickBot="1">
      <c r="H45" s="425" t="s">
        <v>740</v>
      </c>
      <c r="I45" s="426"/>
      <c r="J45" s="426"/>
      <c r="K45" s="426"/>
      <c r="L45" s="426"/>
      <c r="M45" s="426"/>
      <c r="N45" s="426"/>
      <c r="O45" s="426"/>
      <c r="P45" s="426"/>
      <c r="Q45" s="427"/>
    </row>
  </sheetData>
  <mergeCells count="32">
    <mergeCell ref="H31:I31"/>
    <mergeCell ref="K31:Y31"/>
    <mergeCell ref="Z31:AJ31"/>
    <mergeCell ref="K32:AJ32"/>
    <mergeCell ref="V30:W30"/>
    <mergeCell ref="Z30:AA30"/>
    <mergeCell ref="AB30:AC30"/>
    <mergeCell ref="AD30:AE30"/>
    <mergeCell ref="AF30:AG30"/>
    <mergeCell ref="AI30:AJ30"/>
    <mergeCell ref="H30:I30"/>
    <mergeCell ref="K30:M30"/>
    <mergeCell ref="N30:O30"/>
    <mergeCell ref="P30:Q30"/>
    <mergeCell ref="R30:S30"/>
    <mergeCell ref="T30:U30"/>
    <mergeCell ref="AM4:AO4"/>
    <mergeCell ref="H5:J5"/>
    <mergeCell ref="K5:M5"/>
    <mergeCell ref="N5:O5"/>
    <mergeCell ref="P5:Q5"/>
    <mergeCell ref="R5:S5"/>
    <mergeCell ref="T5:U5"/>
    <mergeCell ref="V5:W5"/>
    <mergeCell ref="Z5:AA5"/>
    <mergeCell ref="AB5:AC5"/>
    <mergeCell ref="D11:E11"/>
    <mergeCell ref="D4:E4"/>
    <mergeCell ref="H4:AJ4"/>
    <mergeCell ref="AD5:AE5"/>
    <mergeCell ref="AF5:AG5"/>
    <mergeCell ref="AI5:AJ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DC2E-F3B7-014C-B1EC-B4014C63E3B0}">
  <sheetPr>
    <tabColor rgb="FF08FC04"/>
  </sheetPr>
  <dimension ref="A1:AJ24"/>
  <sheetViews>
    <sheetView showGridLines="0" zoomScale="109" zoomScaleNormal="114" workbookViewId="0">
      <pane xSplit="1" topLeftCell="AD5" activePane="topRight" state="frozen"/>
      <selection pane="topRight" activeCell="AF13" sqref="AF13"/>
    </sheetView>
  </sheetViews>
  <sheetFormatPr defaultColWidth="8.875" defaultRowHeight="15" outlineLevelCol="2"/>
  <cols>
    <col min="1" max="1" width="22.125" style="179" customWidth="1"/>
    <col min="2" max="2" width="11.375" style="179" customWidth="1"/>
    <col min="3" max="3" width="7.625" style="179" customWidth="1" outlineLevel="1"/>
    <col min="4" max="4" width="11.875" style="181" customWidth="1"/>
    <col min="5" max="6" width="14" style="179" hidden="1" customWidth="1" outlineLevel="1"/>
    <col min="7" max="7" width="9.875" style="179" customWidth="1" outlineLevel="1"/>
    <col min="8" max="8" width="11.875" style="179" customWidth="1"/>
    <col min="9" max="9" width="10.625" style="179" hidden="1" customWidth="1" outlineLevel="1"/>
    <col min="10" max="10" width="0.125" style="179" hidden="1" customWidth="1" outlineLevel="1"/>
    <col min="11" max="11" width="10.625" style="180" customWidth="1" outlineLevel="1"/>
    <col min="12" max="12" width="9.625" style="179" customWidth="1"/>
    <col min="13" max="13" width="10.625" style="179" hidden="1" customWidth="1" outlineLevel="2"/>
    <col min="14" max="14" width="9.375" style="179" hidden="1" customWidth="1" outlineLevel="2"/>
    <col min="15" max="15" width="10.625" style="180" customWidth="1" outlineLevel="2"/>
    <col min="16" max="16" width="10.625" style="181" customWidth="1" outlineLevel="2"/>
    <col min="17" max="17" width="10.625" style="180" customWidth="1" outlineLevel="2"/>
    <col min="18" max="18" width="10.625" style="181" customWidth="1" outlineLevel="2"/>
    <col min="19" max="19" width="10.625" style="180" customWidth="1" outlineLevel="2"/>
    <col min="20" max="20" width="8.875" style="181"/>
    <col min="21" max="21" width="8.875" style="179"/>
    <col min="22" max="22" width="8.875" style="181" customWidth="1"/>
    <col min="23" max="23" width="8.875" style="179"/>
    <col min="24" max="24" width="8.875" style="181"/>
    <col min="25" max="25" width="8.875" style="179"/>
    <col min="26" max="26" width="8.875" style="181"/>
    <col min="27" max="27" width="8.375" style="179" customWidth="1"/>
    <col min="28" max="28" width="8.875" style="181"/>
    <col min="29" max="29" width="8.875" style="179"/>
    <col min="30" max="30" width="8.875" style="181"/>
    <col min="31" max="31" width="8.875" style="179"/>
    <col min="32" max="32" width="13.375" style="181" customWidth="1"/>
    <col min="33" max="33" width="8.875" style="180"/>
    <col min="34" max="34" width="9.875" style="179" customWidth="1"/>
    <col min="35" max="35" width="10" style="179" customWidth="1"/>
    <col min="36" max="36" width="11" style="179" customWidth="1"/>
    <col min="37" max="16384" width="8.875" style="179"/>
  </cols>
  <sheetData>
    <row r="1" spans="1:36">
      <c r="A1" s="268"/>
      <c r="B1" s="779" t="s">
        <v>741</v>
      </c>
      <c r="C1" s="780"/>
      <c r="D1" s="781" t="s">
        <v>742</v>
      </c>
      <c r="E1" s="782"/>
      <c r="F1" s="782"/>
      <c r="G1" s="780"/>
      <c r="H1" s="781" t="s">
        <v>743</v>
      </c>
      <c r="I1" s="782"/>
      <c r="J1" s="782"/>
      <c r="K1" s="780"/>
      <c r="L1" s="781" t="s">
        <v>744</v>
      </c>
      <c r="M1" s="782"/>
      <c r="N1" s="782"/>
      <c r="O1" s="782"/>
      <c r="P1" s="776" t="s">
        <v>2</v>
      </c>
      <c r="Q1" s="773"/>
      <c r="R1" s="776" t="s">
        <v>63</v>
      </c>
      <c r="S1" s="773"/>
      <c r="T1" s="776" t="s">
        <v>96</v>
      </c>
      <c r="U1" s="773"/>
      <c r="V1" s="776" t="s">
        <v>124</v>
      </c>
      <c r="W1" s="773"/>
      <c r="X1" s="772" t="s">
        <v>149</v>
      </c>
      <c r="Y1" s="773"/>
      <c r="Z1" s="772" t="s">
        <v>233</v>
      </c>
      <c r="AA1" s="773"/>
      <c r="AB1" s="772" t="s">
        <v>273</v>
      </c>
      <c r="AC1" s="773"/>
      <c r="AD1" s="772" t="s">
        <v>299</v>
      </c>
      <c r="AE1" s="773"/>
      <c r="AF1" s="774" t="s">
        <v>325</v>
      </c>
      <c r="AG1" s="664"/>
      <c r="AH1" s="664"/>
      <c r="AI1" s="664"/>
      <c r="AJ1" s="775"/>
    </row>
    <row r="2" spans="1:36" ht="33" customHeight="1">
      <c r="A2" s="269"/>
      <c r="B2" s="270" t="s">
        <v>326</v>
      </c>
      <c r="C2" s="261" t="s">
        <v>327</v>
      </c>
      <c r="D2" s="262" t="s">
        <v>326</v>
      </c>
      <c r="E2" s="263" t="s">
        <v>327</v>
      </c>
      <c r="F2" s="263" t="s">
        <v>328</v>
      </c>
      <c r="G2" s="261" t="s">
        <v>327</v>
      </c>
      <c r="H2" s="260" t="s">
        <v>326</v>
      </c>
      <c r="I2" s="263" t="s">
        <v>327</v>
      </c>
      <c r="J2" s="263" t="s">
        <v>328</v>
      </c>
      <c r="K2" s="264" t="s">
        <v>327</v>
      </c>
      <c r="L2" s="260" t="s">
        <v>326</v>
      </c>
      <c r="M2" s="263" t="s">
        <v>327</v>
      </c>
      <c r="N2" s="263" t="s">
        <v>328</v>
      </c>
      <c r="O2" s="265" t="s">
        <v>327</v>
      </c>
      <c r="P2" s="266" t="s">
        <v>326</v>
      </c>
      <c r="Q2" s="267" t="s">
        <v>327</v>
      </c>
      <c r="R2" s="266" t="s">
        <v>326</v>
      </c>
      <c r="S2" s="267" t="s">
        <v>327</v>
      </c>
      <c r="T2" s="266" t="s">
        <v>326</v>
      </c>
      <c r="U2" s="267" t="s">
        <v>327</v>
      </c>
      <c r="V2" s="266" t="s">
        <v>326</v>
      </c>
      <c r="W2" s="267" t="s">
        <v>327</v>
      </c>
      <c r="X2" s="266" t="s">
        <v>326</v>
      </c>
      <c r="Y2" s="267" t="s">
        <v>327</v>
      </c>
      <c r="Z2" s="266" t="s">
        <v>326</v>
      </c>
      <c r="AA2" s="267" t="s">
        <v>327</v>
      </c>
      <c r="AB2" s="266" t="s">
        <v>326</v>
      </c>
      <c r="AC2" s="267" t="s">
        <v>327</v>
      </c>
      <c r="AD2" s="266" t="s">
        <v>326</v>
      </c>
      <c r="AE2" s="272" t="s">
        <v>327</v>
      </c>
      <c r="AF2" s="240" t="s">
        <v>326</v>
      </c>
      <c r="AG2" s="241" t="s">
        <v>327</v>
      </c>
      <c r="AH2" s="243" t="s">
        <v>745</v>
      </c>
      <c r="AI2" s="245" t="s">
        <v>746</v>
      </c>
      <c r="AJ2" s="242" t="s">
        <v>747</v>
      </c>
    </row>
    <row r="3" spans="1:36" ht="15.95">
      <c r="A3" s="321" t="s">
        <v>334</v>
      </c>
      <c r="B3" s="271">
        <v>239.8</v>
      </c>
      <c r="C3" s="208">
        <f t="shared" ref="C3:C20" si="0">B3/$B$21</f>
        <v>0.3113760014543</v>
      </c>
      <c r="D3" s="209">
        <v>195</v>
      </c>
      <c r="E3" s="206">
        <f t="shared" ref="E3:E14" si="1">D3/$D$21</f>
        <v>0.33054208902600268</v>
      </c>
      <c r="F3" s="206" t="e">
        <f>D3/#REF!</f>
        <v>#REF!</v>
      </c>
      <c r="G3" s="208">
        <f t="shared" ref="G3:G12" si="2">D3/$D$21</f>
        <v>0.33054208902600268</v>
      </c>
      <c r="H3" s="207">
        <v>284</v>
      </c>
      <c r="I3" s="206">
        <f t="shared" ref="I3:I13" si="3">H3/$H$21</f>
        <v>0.31444451825771164</v>
      </c>
      <c r="J3" s="205" t="e">
        <f>H3/#REF!</f>
        <v>#REF!</v>
      </c>
      <c r="K3" s="203">
        <f t="shared" ref="K3:K20" si="4">H3/$H$21</f>
        <v>0.31444451825771164</v>
      </c>
      <c r="L3" s="207">
        <v>20</v>
      </c>
      <c r="M3" s="206">
        <f t="shared" ref="M3:M20" si="5">L3/$L$21</f>
        <v>2.5679544958463335E-2</v>
      </c>
      <c r="N3" s="205" t="e">
        <f>L3/#REF!</f>
        <v>#REF!</v>
      </c>
      <c r="O3" s="204">
        <f t="shared" ref="O3:O20" si="6">L3/$L$21</f>
        <v>2.5679544958463335E-2</v>
      </c>
      <c r="P3" s="225">
        <v>355</v>
      </c>
      <c r="Q3" s="203">
        <f t="shared" ref="Q3:Q20" si="7">P3/$P$21</f>
        <v>0.31086086568183607</v>
      </c>
      <c r="R3" s="225">
        <v>437</v>
      </c>
      <c r="S3" s="203">
        <f t="shared" ref="S3:S20" si="8">R3/$R$21</f>
        <v>0.38679754644668479</v>
      </c>
      <c r="T3" s="225">
        <v>112.5</v>
      </c>
      <c r="U3" s="203">
        <f t="shared" ref="U3:U20" si="9">T3/$T$21</f>
        <v>0.13173147855411532</v>
      </c>
      <c r="V3" s="225">
        <v>450</v>
      </c>
      <c r="W3" s="203">
        <f t="shared" ref="W3:W20" si="10">V3/$V$21</f>
        <v>0.24715768660405338</v>
      </c>
      <c r="X3" s="225">
        <v>462</v>
      </c>
      <c r="Y3" s="203">
        <f t="shared" ref="Y3:Y20" si="11">X3/$X$21</f>
        <v>0.41190053761044199</v>
      </c>
      <c r="Z3" s="225">
        <v>562</v>
      </c>
      <c r="AA3" s="203">
        <f t="shared" ref="AA3:AA20" si="12">Z3/$Z$21</f>
        <v>0.37536233820013098</v>
      </c>
      <c r="AB3" s="225">
        <v>568</v>
      </c>
      <c r="AC3" s="203">
        <f t="shared" ref="AC3:AC20" si="13">AB3/$AB$21</f>
        <v>0.35574929695671509</v>
      </c>
      <c r="AD3" s="225">
        <v>544</v>
      </c>
      <c r="AE3" s="203">
        <f t="shared" ref="AE3:AE20" si="14">AD3/$AD$21</f>
        <v>0.27259288953473804</v>
      </c>
      <c r="AF3" s="202">
        <f t="shared" ref="AF3:AF20" si="15">SUM(AD3,AB3,Z3,X3,V3,T3,R3,P3,L3,H3,D3,B3)</f>
        <v>4229.3</v>
      </c>
      <c r="AG3" s="212">
        <f t="shared" ref="AG3:AG20" si="16">AF3/$AF$21</f>
        <v>0.29507018669941121</v>
      </c>
      <c r="AH3" s="244">
        <f>AVERAGE(B3,D3,H3,L3,P3,R3,T3,V3,X3,Z3,AB3,AD3)</f>
        <v>352.44166666666666</v>
      </c>
      <c r="AI3" s="246">
        <f>AVERAGE(B3,D3,H3,L3)</f>
        <v>184.7</v>
      </c>
      <c r="AJ3" s="247">
        <f>AVERAGE(P3,R3,T3,V3,X3,Z3,AB3,AD3)</f>
        <v>436.3125</v>
      </c>
    </row>
    <row r="4" spans="1:36" ht="18.95" customHeight="1">
      <c r="A4" s="321" t="s">
        <v>748</v>
      </c>
      <c r="B4" s="271">
        <v>0</v>
      </c>
      <c r="C4" s="208">
        <f t="shared" si="0"/>
        <v>0</v>
      </c>
      <c r="D4" s="209">
        <v>50</v>
      </c>
      <c r="E4" s="206">
        <f t="shared" si="1"/>
        <v>8.4754381801539144E-2</v>
      </c>
      <c r="F4" s="206" t="e">
        <f>D4/#REF!</f>
        <v>#REF!</v>
      </c>
      <c r="G4" s="208">
        <f t="shared" si="2"/>
        <v>8.4754381801539144E-2</v>
      </c>
      <c r="H4" s="207">
        <v>0</v>
      </c>
      <c r="I4" s="206">
        <f t="shared" si="3"/>
        <v>0</v>
      </c>
      <c r="J4" s="205" t="e">
        <f>H4/#REF!</f>
        <v>#REF!</v>
      </c>
      <c r="K4" s="203">
        <f t="shared" si="4"/>
        <v>0</v>
      </c>
      <c r="L4" s="207">
        <v>0</v>
      </c>
      <c r="M4" s="206">
        <f t="shared" si="5"/>
        <v>0</v>
      </c>
      <c r="N4" s="205" t="e">
        <f>L4/#REF!</f>
        <v>#REF!</v>
      </c>
      <c r="O4" s="204">
        <f t="shared" si="6"/>
        <v>0</v>
      </c>
      <c r="P4" s="225">
        <v>0</v>
      </c>
      <c r="Q4" s="203">
        <f t="shared" si="7"/>
        <v>0</v>
      </c>
      <c r="R4" s="225">
        <v>0</v>
      </c>
      <c r="S4" s="211">
        <f t="shared" si="8"/>
        <v>0</v>
      </c>
      <c r="T4" s="225">
        <v>0</v>
      </c>
      <c r="U4" s="203">
        <f t="shared" si="9"/>
        <v>0</v>
      </c>
      <c r="V4" s="225">
        <v>0</v>
      </c>
      <c r="W4" s="203">
        <f t="shared" si="10"/>
        <v>0</v>
      </c>
      <c r="X4" s="225">
        <v>0</v>
      </c>
      <c r="Y4" s="203">
        <f t="shared" si="11"/>
        <v>0</v>
      </c>
      <c r="Z4" s="225">
        <v>0</v>
      </c>
      <c r="AA4" s="203">
        <f t="shared" si="12"/>
        <v>0</v>
      </c>
      <c r="AB4" s="225">
        <v>0</v>
      </c>
      <c r="AC4" s="203">
        <f t="shared" si="13"/>
        <v>0</v>
      </c>
      <c r="AD4" s="225">
        <v>0</v>
      </c>
      <c r="AE4" s="203">
        <f t="shared" si="14"/>
        <v>0</v>
      </c>
      <c r="AF4" s="202">
        <f t="shared" si="15"/>
        <v>50</v>
      </c>
      <c r="AG4" s="201">
        <f t="shared" si="16"/>
        <v>3.488404543298078E-3</v>
      </c>
      <c r="AH4" s="244">
        <f>AVERAGE(B4,D4,H4,L4,P4,R4,T4,V4,X4,Z4,AB4,AD4)</f>
        <v>4.166666666666667</v>
      </c>
      <c r="AI4" s="246">
        <f t="shared" ref="AI4:AI21" si="17">AVERAGE(B4,D4,H4,L4)</f>
        <v>12.5</v>
      </c>
      <c r="AJ4" s="247">
        <f t="shared" ref="AJ4:AJ21" si="18">AVERAGE(P4,R4,T4,V4,X4,Z4,AB4,AD4)</f>
        <v>0</v>
      </c>
    </row>
    <row r="5" spans="1:36" ht="15.95">
      <c r="A5" s="321" t="s">
        <v>350</v>
      </c>
      <c r="B5" s="271">
        <v>42.99</v>
      </c>
      <c r="C5" s="208">
        <f t="shared" si="0"/>
        <v>5.5821744380818834E-2</v>
      </c>
      <c r="D5" s="209">
        <v>4.5</v>
      </c>
      <c r="E5" s="206">
        <f t="shared" si="1"/>
        <v>7.6278943621385237E-3</v>
      </c>
      <c r="F5" s="206" t="e">
        <f>D5/#REF!</f>
        <v>#REF!</v>
      </c>
      <c r="G5" s="208">
        <f t="shared" si="2"/>
        <v>7.6278943621385237E-3</v>
      </c>
      <c r="H5" s="207">
        <v>0</v>
      </c>
      <c r="I5" s="206">
        <f t="shared" si="3"/>
        <v>0</v>
      </c>
      <c r="J5" s="205" t="e">
        <f>H5/#REF!</f>
        <v>#REF!</v>
      </c>
      <c r="K5" s="203">
        <f t="shared" si="4"/>
        <v>0</v>
      </c>
      <c r="L5" s="207">
        <v>5.25</v>
      </c>
      <c r="M5" s="206">
        <f t="shared" si="5"/>
        <v>6.7408805515966255E-3</v>
      </c>
      <c r="N5" s="205" t="e">
        <f>L5/#REF!</f>
        <v>#REF!</v>
      </c>
      <c r="O5" s="204">
        <f t="shared" si="6"/>
        <v>6.7408805515966255E-3</v>
      </c>
      <c r="P5" s="225">
        <v>70.13</v>
      </c>
      <c r="Q5" s="203">
        <f t="shared" si="7"/>
        <v>6.1410345099344121E-2</v>
      </c>
      <c r="R5" s="225">
        <v>46.7</v>
      </c>
      <c r="S5" s="203">
        <f t="shared" si="8"/>
        <v>4.1335115375423753E-2</v>
      </c>
      <c r="T5" s="225">
        <v>158.5</v>
      </c>
      <c r="U5" s="203">
        <f t="shared" si="9"/>
        <v>0.18559501645179802</v>
      </c>
      <c r="V5" s="225">
        <v>0</v>
      </c>
      <c r="W5" s="203">
        <f t="shared" si="10"/>
        <v>0</v>
      </c>
      <c r="X5" s="225">
        <v>0</v>
      </c>
      <c r="Y5" s="203">
        <f t="shared" si="11"/>
        <v>0</v>
      </c>
      <c r="Z5" s="225">
        <v>0</v>
      </c>
      <c r="AA5" s="203">
        <f t="shared" si="12"/>
        <v>0</v>
      </c>
      <c r="AB5" s="225">
        <v>41</v>
      </c>
      <c r="AC5" s="203">
        <f t="shared" si="13"/>
        <v>2.5679086576100914E-2</v>
      </c>
      <c r="AD5" s="225">
        <v>23.47</v>
      </c>
      <c r="AE5" s="203">
        <f t="shared" si="14"/>
        <v>1.1760579259890261E-2</v>
      </c>
      <c r="AF5" s="202">
        <f t="shared" si="15"/>
        <v>392.54</v>
      </c>
      <c r="AG5" s="201">
        <f t="shared" si="16"/>
        <v>2.7386766388524553E-2</v>
      </c>
      <c r="AH5" s="244">
        <f t="shared" ref="AH5:AH21" si="19">AVERAGE(B5,D5,H5,L5,P5,R5,T5,V5,X5,Z5,AB5,AD5)</f>
        <v>32.711666666666666</v>
      </c>
      <c r="AI5" s="246">
        <f t="shared" si="17"/>
        <v>13.185</v>
      </c>
      <c r="AJ5" s="247">
        <f t="shared" si="18"/>
        <v>42.474999999999994</v>
      </c>
    </row>
    <row r="6" spans="1:36" ht="15.95">
      <c r="A6" s="321" t="s">
        <v>337</v>
      </c>
      <c r="B6" s="271">
        <v>16.8</v>
      </c>
      <c r="C6" s="208">
        <f t="shared" si="0"/>
        <v>2.181449885084337E-2</v>
      </c>
      <c r="D6" s="209">
        <v>26.9</v>
      </c>
      <c r="E6" s="206">
        <f t="shared" si="1"/>
        <v>4.559785740922806E-2</v>
      </c>
      <c r="F6" s="206" t="e">
        <f>D6/#REF!</f>
        <v>#REF!</v>
      </c>
      <c r="G6" s="208">
        <f t="shared" si="2"/>
        <v>4.559785740922806E-2</v>
      </c>
      <c r="H6" s="207">
        <v>16.8</v>
      </c>
      <c r="I6" s="206">
        <f t="shared" si="3"/>
        <v>1.8600943333554776E-2</v>
      </c>
      <c r="J6" s="205" t="e">
        <f>H6/#REF!</f>
        <v>#REF!</v>
      </c>
      <c r="K6" s="203">
        <f t="shared" si="4"/>
        <v>1.8600943333554776E-2</v>
      </c>
      <c r="L6" s="207">
        <v>18.11</v>
      </c>
      <c r="M6" s="206">
        <f t="shared" si="5"/>
        <v>2.3252827959888547E-2</v>
      </c>
      <c r="N6" s="205" t="e">
        <f>L6/#REF!</f>
        <v>#REF!</v>
      </c>
      <c r="O6" s="204">
        <f t="shared" si="6"/>
        <v>2.3252827959888547E-2</v>
      </c>
      <c r="P6" s="225">
        <v>0</v>
      </c>
      <c r="Q6" s="203">
        <f t="shared" si="7"/>
        <v>0</v>
      </c>
      <c r="R6" s="225">
        <v>34</v>
      </c>
      <c r="S6" s="203">
        <f t="shared" si="8"/>
        <v>3.0094088281893097E-2</v>
      </c>
      <c r="T6" s="225">
        <v>20</v>
      </c>
      <c r="U6" s="203">
        <f t="shared" si="9"/>
        <v>2.3418929520731612E-2</v>
      </c>
      <c r="V6" s="225">
        <v>20</v>
      </c>
      <c r="W6" s="203">
        <f t="shared" si="10"/>
        <v>1.0984786071291261E-2</v>
      </c>
      <c r="X6" s="225">
        <v>22.61</v>
      </c>
      <c r="Y6" s="203">
        <f t="shared" si="11"/>
        <v>2.0158162673965571E-2</v>
      </c>
      <c r="Z6" s="225">
        <v>21.64</v>
      </c>
      <c r="AA6" s="203">
        <f t="shared" si="12"/>
        <v>1.4453453734254154E-2</v>
      </c>
      <c r="AB6" s="225">
        <v>20</v>
      </c>
      <c r="AC6" s="203">
        <f t="shared" si="13"/>
        <v>1.2526383695658982E-2</v>
      </c>
      <c r="AD6" s="225">
        <v>20</v>
      </c>
      <c r="AE6" s="203">
        <f t="shared" si="14"/>
        <v>1.0021797409365369E-2</v>
      </c>
      <c r="AF6" s="202">
        <f t="shared" si="15"/>
        <v>236.86000000000004</v>
      </c>
      <c r="AG6" s="201">
        <f t="shared" si="16"/>
        <v>1.6525270002511659E-2</v>
      </c>
      <c r="AH6" s="244">
        <f t="shared" si="19"/>
        <v>19.738333333333333</v>
      </c>
      <c r="AI6" s="246">
        <f t="shared" si="17"/>
        <v>19.6525</v>
      </c>
      <c r="AJ6" s="247">
        <f t="shared" si="18"/>
        <v>19.78125</v>
      </c>
    </row>
    <row r="7" spans="1:36" ht="15.95">
      <c r="A7" s="321" t="s">
        <v>749</v>
      </c>
      <c r="B7" s="271">
        <v>64.38</v>
      </c>
      <c r="C7" s="208">
        <f t="shared" si="0"/>
        <v>8.3596275953410473E-2</v>
      </c>
      <c r="D7" s="209">
        <v>64.31</v>
      </c>
      <c r="E7" s="206">
        <f t="shared" si="1"/>
        <v>0.10901108587313965</v>
      </c>
      <c r="F7" s="206" t="e">
        <f>D7/#REF!</f>
        <v>#REF!</v>
      </c>
      <c r="G7" s="208">
        <f t="shared" si="2"/>
        <v>0.10901108587313965</v>
      </c>
      <c r="H7" s="207">
        <v>95.26</v>
      </c>
      <c r="I7" s="206">
        <f t="shared" si="3"/>
        <v>0.10547177749728738</v>
      </c>
      <c r="J7" s="205" t="e">
        <f>H7/#REF!</f>
        <v>#REF!</v>
      </c>
      <c r="K7" s="203">
        <f t="shared" si="4"/>
        <v>0.10547177749728738</v>
      </c>
      <c r="L7" s="207">
        <v>0</v>
      </c>
      <c r="M7" s="206">
        <f t="shared" si="5"/>
        <v>0</v>
      </c>
      <c r="N7" s="205" t="e">
        <f>L7/#REF!</f>
        <v>#REF!</v>
      </c>
      <c r="O7" s="204">
        <f t="shared" si="6"/>
        <v>0</v>
      </c>
      <c r="P7" s="225">
        <v>15</v>
      </c>
      <c r="Q7" s="203">
        <f t="shared" si="7"/>
        <v>1.3134966155570539E-2</v>
      </c>
      <c r="R7" s="225">
        <v>5</v>
      </c>
      <c r="S7" s="203">
        <f t="shared" si="8"/>
        <v>4.425601217925455E-3</v>
      </c>
      <c r="T7" s="225">
        <v>5</v>
      </c>
      <c r="U7" s="203">
        <f t="shared" si="9"/>
        <v>5.854732380182903E-3</v>
      </c>
      <c r="V7" s="225">
        <v>66.489999999999995</v>
      </c>
      <c r="W7" s="203">
        <f t="shared" si="10"/>
        <v>3.6518921294007793E-2</v>
      </c>
      <c r="X7" s="225">
        <v>24.4</v>
      </c>
      <c r="Y7" s="203">
        <f t="shared" si="11"/>
        <v>2.1754054367304727E-2</v>
      </c>
      <c r="Z7" s="225">
        <v>98.98</v>
      </c>
      <c r="AA7" s="203">
        <f t="shared" si="12"/>
        <v>6.6109189030336232E-2</v>
      </c>
      <c r="AB7" s="225">
        <v>99.25</v>
      </c>
      <c r="AC7" s="203">
        <f t="shared" si="13"/>
        <v>6.2162179089707705E-2</v>
      </c>
      <c r="AD7" s="225">
        <v>53.01</v>
      </c>
      <c r="AE7" s="203">
        <f t="shared" si="14"/>
        <v>2.6562774033522911E-2</v>
      </c>
      <c r="AF7" s="202">
        <f t="shared" si="15"/>
        <v>591.08000000000004</v>
      </c>
      <c r="AG7" s="201">
        <f t="shared" si="16"/>
        <v>4.1238523149052561E-2</v>
      </c>
      <c r="AH7" s="244">
        <f t="shared" si="19"/>
        <v>49.256666666666661</v>
      </c>
      <c r="AI7" s="246">
        <f t="shared" si="17"/>
        <v>55.987499999999997</v>
      </c>
      <c r="AJ7" s="247">
        <f t="shared" si="18"/>
        <v>45.891249999999999</v>
      </c>
    </row>
    <row r="8" spans="1:36" ht="15.95">
      <c r="A8" s="321" t="s">
        <v>339</v>
      </c>
      <c r="B8" s="271">
        <v>14.9</v>
      </c>
      <c r="C8" s="208">
        <f t="shared" si="0"/>
        <v>1.934738290937894E-2</v>
      </c>
      <c r="D8" s="209">
        <v>21.9</v>
      </c>
      <c r="E8" s="206">
        <f t="shared" si="1"/>
        <v>3.7122419229074145E-2</v>
      </c>
      <c r="F8" s="206" t="e">
        <f>D8/#REF!</f>
        <v>#REF!</v>
      </c>
      <c r="G8" s="208">
        <f t="shared" si="2"/>
        <v>3.7122419229074145E-2</v>
      </c>
      <c r="H8" s="207">
        <v>12.58</v>
      </c>
      <c r="I8" s="206">
        <f t="shared" si="3"/>
        <v>1.3928563520007087E-2</v>
      </c>
      <c r="J8" s="205" t="e">
        <f>H8/#REF!</f>
        <v>#REF!</v>
      </c>
      <c r="K8" s="203">
        <f t="shared" si="4"/>
        <v>1.3928563520007087E-2</v>
      </c>
      <c r="L8" s="207">
        <v>74.89</v>
      </c>
      <c r="M8" s="206">
        <f t="shared" si="5"/>
        <v>9.6157056096965954E-2</v>
      </c>
      <c r="N8" s="205" t="e">
        <f>L8/#REF!</f>
        <v>#REF!</v>
      </c>
      <c r="O8" s="204">
        <f t="shared" si="6"/>
        <v>9.6157056096965954E-2</v>
      </c>
      <c r="P8" s="225">
        <v>61</v>
      </c>
      <c r="Q8" s="203">
        <f t="shared" si="7"/>
        <v>5.3415529032653522E-2</v>
      </c>
      <c r="R8" s="225">
        <v>9.2899999999999991</v>
      </c>
      <c r="S8" s="203">
        <f t="shared" si="8"/>
        <v>8.2227670629054957E-3</v>
      </c>
      <c r="T8" s="225">
        <v>33.590000000000003</v>
      </c>
      <c r="U8" s="203">
        <f t="shared" si="9"/>
        <v>3.9332092130068746E-2</v>
      </c>
      <c r="V8" s="225">
        <v>151.79</v>
      </c>
      <c r="W8" s="203">
        <f t="shared" si="10"/>
        <v>8.3369033888065019E-2</v>
      </c>
      <c r="X8" s="225">
        <v>0</v>
      </c>
      <c r="Y8" s="203">
        <f t="shared" si="11"/>
        <v>0</v>
      </c>
      <c r="Z8" s="225">
        <v>42.49</v>
      </c>
      <c r="AA8" s="203">
        <f t="shared" si="12"/>
        <v>2.8379262900575738E-2</v>
      </c>
      <c r="AB8" s="225">
        <v>0</v>
      </c>
      <c r="AC8" s="203">
        <f t="shared" si="13"/>
        <v>0</v>
      </c>
      <c r="AD8" s="225">
        <v>3</v>
      </c>
      <c r="AE8" s="203">
        <f t="shared" si="14"/>
        <v>1.5032696114048055E-3</v>
      </c>
      <c r="AF8" s="202">
        <f t="shared" si="15"/>
        <v>425.42999999999989</v>
      </c>
      <c r="AG8" s="201">
        <f t="shared" si="16"/>
        <v>2.9681438897106019E-2</v>
      </c>
      <c r="AH8" s="244">
        <f t="shared" si="19"/>
        <v>35.452499999999993</v>
      </c>
      <c r="AI8" s="246">
        <f t="shared" si="17"/>
        <v>31.067499999999999</v>
      </c>
      <c r="AJ8" s="247">
        <f t="shared" si="18"/>
        <v>37.644999999999996</v>
      </c>
    </row>
    <row r="9" spans="1:36" ht="15.95">
      <c r="A9" s="321" t="s">
        <v>340</v>
      </c>
      <c r="B9" s="271">
        <v>0</v>
      </c>
      <c r="C9" s="208">
        <f t="shared" si="0"/>
        <v>0</v>
      </c>
      <c r="D9" s="209">
        <v>0</v>
      </c>
      <c r="E9" s="206">
        <f t="shared" si="1"/>
        <v>0</v>
      </c>
      <c r="F9" s="206" t="e">
        <f>D9/#REF!</f>
        <v>#REF!</v>
      </c>
      <c r="G9" s="208">
        <f t="shared" si="2"/>
        <v>0</v>
      </c>
      <c r="H9" s="207">
        <v>0</v>
      </c>
      <c r="I9" s="206">
        <f t="shared" si="3"/>
        <v>0</v>
      </c>
      <c r="J9" s="205" t="e">
        <f>H9/#REF!</f>
        <v>#REF!</v>
      </c>
      <c r="K9" s="203">
        <f t="shared" si="4"/>
        <v>0</v>
      </c>
      <c r="L9" s="207">
        <v>0</v>
      </c>
      <c r="M9" s="206">
        <f t="shared" si="5"/>
        <v>0</v>
      </c>
      <c r="N9" s="205" t="e">
        <f>L9/#REF!</f>
        <v>#REF!</v>
      </c>
      <c r="O9" s="204">
        <f t="shared" si="6"/>
        <v>0</v>
      </c>
      <c r="P9" s="225">
        <v>48</v>
      </c>
      <c r="Q9" s="203">
        <f t="shared" si="7"/>
        <v>4.2031891697825723E-2</v>
      </c>
      <c r="R9" s="225">
        <v>0</v>
      </c>
      <c r="S9" s="203">
        <f t="shared" si="8"/>
        <v>0</v>
      </c>
      <c r="T9" s="225">
        <v>0</v>
      </c>
      <c r="U9" s="203">
        <f t="shared" si="9"/>
        <v>0</v>
      </c>
      <c r="V9" s="225">
        <v>42.35</v>
      </c>
      <c r="W9" s="203">
        <f t="shared" si="10"/>
        <v>2.3260284505959246E-2</v>
      </c>
      <c r="X9" s="225">
        <v>29.33</v>
      </c>
      <c r="Y9" s="203">
        <f t="shared" si="11"/>
        <v>2.6149443221026542E-2</v>
      </c>
      <c r="Z9" s="225">
        <v>0</v>
      </c>
      <c r="AA9" s="203">
        <f t="shared" si="12"/>
        <v>0</v>
      </c>
      <c r="AB9" s="225">
        <v>0</v>
      </c>
      <c r="AC9" s="203">
        <f t="shared" si="13"/>
        <v>0</v>
      </c>
      <c r="AD9" s="225">
        <v>0</v>
      </c>
      <c r="AE9" s="203">
        <f t="shared" si="14"/>
        <v>0</v>
      </c>
      <c r="AF9" s="202">
        <f t="shared" si="15"/>
        <v>119.68</v>
      </c>
      <c r="AG9" s="201">
        <f t="shared" si="16"/>
        <v>8.3498451148382793E-3</v>
      </c>
      <c r="AH9" s="244">
        <f t="shared" si="19"/>
        <v>9.9733333333333327</v>
      </c>
      <c r="AI9" s="246">
        <f t="shared" si="17"/>
        <v>0</v>
      </c>
      <c r="AJ9" s="247">
        <f t="shared" si="18"/>
        <v>14.959999999999999</v>
      </c>
    </row>
    <row r="10" spans="1:36" ht="15.95">
      <c r="A10" s="321" t="s">
        <v>9</v>
      </c>
      <c r="B10" s="271">
        <v>139.19999999999999</v>
      </c>
      <c r="C10" s="208">
        <f t="shared" si="0"/>
        <v>0.18074870476413074</v>
      </c>
      <c r="D10" s="209">
        <v>132.1</v>
      </c>
      <c r="E10" s="206">
        <f t="shared" si="1"/>
        <v>0.22392107671966641</v>
      </c>
      <c r="F10" s="206" t="e">
        <f>D10/#REF!</f>
        <v>#REF!</v>
      </c>
      <c r="G10" s="208">
        <f t="shared" si="2"/>
        <v>0.22392107671966641</v>
      </c>
      <c r="H10" s="207">
        <v>148.68</v>
      </c>
      <c r="I10" s="206">
        <f t="shared" si="3"/>
        <v>0.16461834850195975</v>
      </c>
      <c r="J10" s="205" t="e">
        <f>H10/#REF!</f>
        <v>#REF!</v>
      </c>
      <c r="K10" s="203">
        <f t="shared" si="4"/>
        <v>0.16461834850195975</v>
      </c>
      <c r="L10" s="207">
        <v>75.37</v>
      </c>
      <c r="M10" s="206">
        <f t="shared" si="5"/>
        <v>9.6773365175969087E-2</v>
      </c>
      <c r="N10" s="205" t="e">
        <f>L10/#REF!</f>
        <v>#REF!</v>
      </c>
      <c r="O10" s="204">
        <f t="shared" si="6"/>
        <v>9.6773365175969087E-2</v>
      </c>
      <c r="P10" s="225">
        <v>217.71</v>
      </c>
      <c r="Q10" s="203">
        <f t="shared" si="7"/>
        <v>0.19064089878195081</v>
      </c>
      <c r="R10" s="225">
        <v>280.83999999999997</v>
      </c>
      <c r="S10" s="203">
        <f t="shared" si="8"/>
        <v>0.24857716920843695</v>
      </c>
      <c r="T10" s="225">
        <v>212.26</v>
      </c>
      <c r="U10" s="203">
        <f t="shared" si="9"/>
        <v>0.24854509900352456</v>
      </c>
      <c r="V10" s="225">
        <v>138.56</v>
      </c>
      <c r="W10" s="203">
        <f t="shared" si="10"/>
        <v>7.6102597901905863E-2</v>
      </c>
      <c r="X10" s="225">
        <v>263.77</v>
      </c>
      <c r="Y10" s="203">
        <f t="shared" si="11"/>
        <v>0.23516667706819541</v>
      </c>
      <c r="Z10" s="225">
        <v>152.91</v>
      </c>
      <c r="AA10" s="203">
        <f t="shared" si="12"/>
        <v>0.10212927959818865</v>
      </c>
      <c r="AB10" s="225">
        <v>223.59</v>
      </c>
      <c r="AC10" s="203">
        <f t="shared" si="13"/>
        <v>0.14003870652561959</v>
      </c>
      <c r="AD10" s="225">
        <v>124.26</v>
      </c>
      <c r="AE10" s="203">
        <f t="shared" si="14"/>
        <v>6.2265427304387042E-2</v>
      </c>
      <c r="AF10" s="202">
        <f t="shared" si="15"/>
        <v>2109.25</v>
      </c>
      <c r="AG10" s="201">
        <f t="shared" si="16"/>
        <v>0.14715834565902941</v>
      </c>
      <c r="AH10" s="244">
        <f t="shared" si="19"/>
        <v>175.77083333333334</v>
      </c>
      <c r="AI10" s="246">
        <f t="shared" si="17"/>
        <v>123.83749999999999</v>
      </c>
      <c r="AJ10" s="247">
        <f t="shared" si="18"/>
        <v>201.73749999999998</v>
      </c>
    </row>
    <row r="11" spans="1:36" ht="15.95">
      <c r="A11" s="322" t="s">
        <v>159</v>
      </c>
      <c r="B11" s="271">
        <v>44.07</v>
      </c>
      <c r="C11" s="208">
        <f t="shared" si="0"/>
        <v>5.7224105021230189E-2</v>
      </c>
      <c r="D11" s="209">
        <v>7.99</v>
      </c>
      <c r="E11" s="236">
        <f t="shared" si="1"/>
        <v>1.3543750211885957E-2</v>
      </c>
      <c r="F11" s="236" t="e">
        <f>D11/#REF!</f>
        <v>#REF!</v>
      </c>
      <c r="G11" s="208">
        <f t="shared" si="2"/>
        <v>1.3543750211885957E-2</v>
      </c>
      <c r="H11" s="207">
        <v>70.75</v>
      </c>
      <c r="I11" s="236">
        <f t="shared" si="3"/>
        <v>7.8334329812440498E-2</v>
      </c>
      <c r="J11" s="237" t="e">
        <f>H11/#REF!</f>
        <v>#REF!</v>
      </c>
      <c r="K11" s="203">
        <f t="shared" si="4"/>
        <v>7.8334329812440498E-2</v>
      </c>
      <c r="L11" s="207">
        <v>215.01</v>
      </c>
      <c r="M11" s="236">
        <f t="shared" si="5"/>
        <v>0.27606794807596008</v>
      </c>
      <c r="N11" s="237" t="e">
        <f>L11/#REF!</f>
        <v>#REF!</v>
      </c>
      <c r="O11" s="204">
        <f t="shared" si="6"/>
        <v>0.27606794807596008</v>
      </c>
      <c r="P11" s="225">
        <v>109.62</v>
      </c>
      <c r="Q11" s="203">
        <f t="shared" si="7"/>
        <v>9.59903326649095E-2</v>
      </c>
      <c r="R11" s="225">
        <v>31.1</v>
      </c>
      <c r="S11" s="203">
        <f t="shared" si="8"/>
        <v>2.7527239575496333E-2</v>
      </c>
      <c r="T11" s="225">
        <v>110</v>
      </c>
      <c r="U11" s="203">
        <f t="shared" si="9"/>
        <v>0.12880411236402386</v>
      </c>
      <c r="V11" s="225">
        <v>264.49</v>
      </c>
      <c r="W11" s="203">
        <f t="shared" si="10"/>
        <v>0.1452683033997913</v>
      </c>
      <c r="X11" s="225">
        <v>90.5</v>
      </c>
      <c r="Y11" s="203">
        <f t="shared" si="11"/>
        <v>8.0686144272175325E-2</v>
      </c>
      <c r="Z11" s="225">
        <v>93.07</v>
      </c>
      <c r="AA11" s="203">
        <f t="shared" si="12"/>
        <v>6.2161873338587519E-2</v>
      </c>
      <c r="AB11" s="225">
        <v>48.5</v>
      </c>
      <c r="AC11" s="203">
        <f t="shared" si="13"/>
        <v>3.0376480461973034E-2</v>
      </c>
      <c r="AD11" s="225">
        <v>71</v>
      </c>
      <c r="AE11" s="203">
        <f t="shared" si="14"/>
        <v>3.5577380803247058E-2</v>
      </c>
      <c r="AF11" s="202">
        <f t="shared" si="15"/>
        <v>1156.0999999999999</v>
      </c>
      <c r="AG11" s="238">
        <f t="shared" si="16"/>
        <v>8.0658889850138152E-2</v>
      </c>
      <c r="AH11" s="244">
        <f t="shared" si="19"/>
        <v>96.341666666666654</v>
      </c>
      <c r="AI11" s="246">
        <f t="shared" si="17"/>
        <v>84.454999999999998</v>
      </c>
      <c r="AJ11" s="247">
        <f t="shared" si="18"/>
        <v>102.285</v>
      </c>
    </row>
    <row r="12" spans="1:36" ht="15.95">
      <c r="A12" s="322" t="s">
        <v>11</v>
      </c>
      <c r="B12" s="271">
        <v>51.44</v>
      </c>
      <c r="C12" s="208">
        <f t="shared" si="0"/>
        <v>6.6793917909963266E-2</v>
      </c>
      <c r="D12" s="209">
        <v>41.09</v>
      </c>
      <c r="E12" s="236">
        <f t="shared" si="1"/>
        <v>6.9651150964504874E-2</v>
      </c>
      <c r="F12" s="236" t="e">
        <f>D12/#REF!</f>
        <v>#REF!</v>
      </c>
      <c r="G12" s="208">
        <f t="shared" si="2"/>
        <v>6.9651150964504874E-2</v>
      </c>
      <c r="H12" s="207">
        <v>44.9</v>
      </c>
      <c r="I12" s="236">
        <f t="shared" si="3"/>
        <v>4.9713235456941035E-2</v>
      </c>
      <c r="J12" s="237" t="e">
        <f>H12/#REF!</f>
        <v>#REF!</v>
      </c>
      <c r="K12" s="203">
        <f t="shared" si="4"/>
        <v>4.9713235456941035E-2</v>
      </c>
      <c r="L12" s="207">
        <v>29.99</v>
      </c>
      <c r="M12" s="236">
        <f t="shared" si="5"/>
        <v>3.8506477665215769E-2</v>
      </c>
      <c r="N12" s="237" t="e">
        <f>L12/#REF!</f>
        <v>#REF!</v>
      </c>
      <c r="O12" s="204">
        <f t="shared" si="6"/>
        <v>3.8506477665215769E-2</v>
      </c>
      <c r="P12" s="225">
        <v>222.99</v>
      </c>
      <c r="Q12" s="203">
        <f t="shared" si="7"/>
        <v>0.19526440686871163</v>
      </c>
      <c r="R12" s="225">
        <v>167.37</v>
      </c>
      <c r="S12" s="203">
        <f t="shared" si="8"/>
        <v>0.14814257516883669</v>
      </c>
      <c r="T12" s="225">
        <v>146.15</v>
      </c>
      <c r="U12" s="203">
        <f t="shared" si="9"/>
        <v>0.17113382747274625</v>
      </c>
      <c r="V12" s="225">
        <v>26.47</v>
      </c>
      <c r="W12" s="203">
        <f t="shared" si="10"/>
        <v>1.4538364365353983E-2</v>
      </c>
      <c r="X12" s="225">
        <v>173.2</v>
      </c>
      <c r="Y12" s="203">
        <f t="shared" si="11"/>
        <v>0.15441812362365487</v>
      </c>
      <c r="Z12" s="225">
        <v>34.9</v>
      </c>
      <c r="AA12" s="203">
        <f t="shared" si="12"/>
        <v>2.3309867621324858E-2</v>
      </c>
      <c r="AB12" s="225">
        <v>84.73</v>
      </c>
      <c r="AC12" s="203">
        <f t="shared" si="13"/>
        <v>5.3068024526659284E-2</v>
      </c>
      <c r="AD12" s="225">
        <v>123.26</v>
      </c>
      <c r="AE12" s="203">
        <f t="shared" si="14"/>
        <v>6.1764337433918771E-2</v>
      </c>
      <c r="AF12" s="202">
        <f t="shared" si="15"/>
        <v>1146.49</v>
      </c>
      <c r="AG12" s="238">
        <f t="shared" si="16"/>
        <v>7.9988418496916264E-2</v>
      </c>
      <c r="AH12" s="244">
        <f t="shared" si="19"/>
        <v>95.540833333333339</v>
      </c>
      <c r="AI12" s="246">
        <f t="shared" si="17"/>
        <v>41.855000000000004</v>
      </c>
      <c r="AJ12" s="247">
        <f t="shared" si="18"/>
        <v>122.38375000000001</v>
      </c>
    </row>
    <row r="13" spans="1:36" ht="15.95">
      <c r="A13" s="322" t="s">
        <v>330</v>
      </c>
      <c r="B13" s="323">
        <v>100</v>
      </c>
      <c r="C13" s="208">
        <f t="shared" si="0"/>
        <v>0.12984820744549624</v>
      </c>
      <c r="D13" s="209">
        <v>17.100000000000001</v>
      </c>
      <c r="E13" s="236">
        <f t="shared" si="1"/>
        <v>2.8985998576126392E-2</v>
      </c>
      <c r="F13" s="236" t="e">
        <f>D13/#REF!</f>
        <v>#REF!</v>
      </c>
      <c r="G13" s="208">
        <v>0</v>
      </c>
      <c r="H13" s="209">
        <v>0</v>
      </c>
      <c r="I13" s="236">
        <f t="shared" si="3"/>
        <v>0</v>
      </c>
      <c r="J13" s="237" t="e">
        <f>H13/#REF!</f>
        <v>#REF!</v>
      </c>
      <c r="K13" s="203">
        <f t="shared" si="4"/>
        <v>0</v>
      </c>
      <c r="L13" s="209">
        <v>50</v>
      </c>
      <c r="M13" s="236">
        <f t="shared" si="5"/>
        <v>6.4198862396158338E-2</v>
      </c>
      <c r="N13" s="237" t="e">
        <f>L13/#REF!</f>
        <v>#REF!</v>
      </c>
      <c r="O13" s="204">
        <f t="shared" si="6"/>
        <v>6.4198862396158338E-2</v>
      </c>
      <c r="P13" s="225">
        <v>14.6</v>
      </c>
      <c r="Q13" s="203">
        <f t="shared" si="7"/>
        <v>1.2784700391421992E-2</v>
      </c>
      <c r="R13" s="225">
        <v>11</v>
      </c>
      <c r="S13" s="203">
        <f t="shared" si="8"/>
        <v>9.7363226794360009E-3</v>
      </c>
      <c r="T13" s="225">
        <v>0</v>
      </c>
      <c r="U13" s="203">
        <f t="shared" si="9"/>
        <v>0</v>
      </c>
      <c r="V13" s="225">
        <v>14.99</v>
      </c>
      <c r="W13" s="203">
        <f t="shared" si="10"/>
        <v>8.2330971604328007E-3</v>
      </c>
      <c r="X13" s="225">
        <v>6.29</v>
      </c>
      <c r="Y13" s="203">
        <f t="shared" si="11"/>
        <v>5.6079099168174894E-3</v>
      </c>
      <c r="Z13" s="225">
        <v>0</v>
      </c>
      <c r="AA13" s="203">
        <f t="shared" si="12"/>
        <v>0</v>
      </c>
      <c r="AB13" s="225">
        <v>0</v>
      </c>
      <c r="AC13" s="203">
        <f t="shared" si="13"/>
        <v>0</v>
      </c>
      <c r="AD13" s="225">
        <v>250</v>
      </c>
      <c r="AE13" s="203">
        <f t="shared" si="14"/>
        <v>0.12527246761706712</v>
      </c>
      <c r="AF13" s="202">
        <f t="shared" si="15"/>
        <v>463.98000000000008</v>
      </c>
      <c r="AG13" s="212">
        <f t="shared" si="16"/>
        <v>3.2370998799988851E-2</v>
      </c>
      <c r="AH13" s="244">
        <f>AVERAGE(B13,D13,H13,L13,P13,R13,T13,V13,X13,Z13,AB13,AD13)</f>
        <v>38.664999999999999</v>
      </c>
      <c r="AI13" s="246">
        <f>AVERAGE(B13,D13,H13,L13)</f>
        <v>41.774999999999999</v>
      </c>
      <c r="AJ13" s="247">
        <f>AVERAGE(P13,R13,T13,V13,X13,Z13,AB13,AD13)</f>
        <v>37.11</v>
      </c>
    </row>
    <row r="14" spans="1:36" ht="15.95">
      <c r="A14" s="322" t="s">
        <v>163</v>
      </c>
      <c r="B14" s="323">
        <v>53.12</v>
      </c>
      <c r="C14" s="208">
        <f t="shared" si="0"/>
        <v>6.8975367795047593E-2</v>
      </c>
      <c r="D14" s="209">
        <v>29.05</v>
      </c>
      <c r="E14" s="236">
        <f t="shared" si="1"/>
        <v>4.9242295826694246E-2</v>
      </c>
      <c r="F14" s="236" t="e">
        <f>D14/#REF!</f>
        <v>#REF!</v>
      </c>
      <c r="G14" s="208">
        <f t="shared" ref="G14:G20" si="20">D14/$D$21</f>
        <v>4.9242295826694246E-2</v>
      </c>
      <c r="H14" s="209">
        <v>225.73</v>
      </c>
      <c r="I14" s="236"/>
      <c r="J14" s="237"/>
      <c r="K14" s="203">
        <f t="shared" si="4"/>
        <v>0.24992803206448327</v>
      </c>
      <c r="L14" s="209">
        <v>167.99</v>
      </c>
      <c r="M14" s="236">
        <f t="shared" si="5"/>
        <v>0.21569533787861278</v>
      </c>
      <c r="N14" s="237" t="e">
        <f>L14/#REF!</f>
        <v>#REF!</v>
      </c>
      <c r="O14" s="204">
        <f t="shared" si="6"/>
        <v>0.21569533787861278</v>
      </c>
      <c r="P14" s="225">
        <v>20.5</v>
      </c>
      <c r="Q14" s="203">
        <f t="shared" si="7"/>
        <v>1.795112041261307E-2</v>
      </c>
      <c r="R14" s="225">
        <v>76.5</v>
      </c>
      <c r="S14" s="211">
        <f t="shared" si="8"/>
        <v>6.7711698634259465E-2</v>
      </c>
      <c r="T14" s="225">
        <v>34.39</v>
      </c>
      <c r="U14" s="203">
        <f t="shared" si="9"/>
        <v>4.0268849310898004E-2</v>
      </c>
      <c r="V14" s="225">
        <v>176.76</v>
      </c>
      <c r="W14" s="203">
        <f t="shared" si="10"/>
        <v>9.7083539298072161E-2</v>
      </c>
      <c r="X14" s="225">
        <v>26.25</v>
      </c>
      <c r="Y14" s="203">
        <f t="shared" si="11"/>
        <v>2.340343963695693E-2</v>
      </c>
      <c r="Z14" s="225">
        <v>142.19999999999999</v>
      </c>
      <c r="AA14" s="203">
        <f t="shared" si="12"/>
        <v>9.4976022227862306E-2</v>
      </c>
      <c r="AB14" s="225">
        <v>7</v>
      </c>
      <c r="AC14" s="203">
        <f t="shared" si="13"/>
        <v>4.3842342934806442E-3</v>
      </c>
      <c r="AD14" s="225">
        <v>53.65</v>
      </c>
      <c r="AE14" s="203">
        <f t="shared" si="14"/>
        <v>2.6883471550622602E-2</v>
      </c>
      <c r="AF14" s="202">
        <f t="shared" si="15"/>
        <v>1013.14</v>
      </c>
      <c r="AG14" s="201">
        <f t="shared" si="16"/>
        <v>7.0684843579940287E-2</v>
      </c>
      <c r="AH14" s="244">
        <f>AVERAGE(B14,D14,H14,L14,P14,R14,T14,V14,X14,Z14,AB14,AD14)</f>
        <v>84.428333333333327</v>
      </c>
      <c r="AI14" s="246">
        <f t="shared" si="17"/>
        <v>118.9725</v>
      </c>
      <c r="AJ14" s="247">
        <f t="shared" si="18"/>
        <v>67.15625</v>
      </c>
    </row>
    <row r="15" spans="1:36" ht="15.95">
      <c r="A15" s="322" t="s">
        <v>224</v>
      </c>
      <c r="B15" s="323">
        <v>3.43</v>
      </c>
      <c r="C15" s="208">
        <f t="shared" si="0"/>
        <v>4.4537935153805214E-3</v>
      </c>
      <c r="D15" s="209">
        <v>0</v>
      </c>
      <c r="E15" s="236"/>
      <c r="F15" s="236"/>
      <c r="G15" s="208">
        <f t="shared" si="20"/>
        <v>0</v>
      </c>
      <c r="H15" s="209">
        <v>4.4800000000000004</v>
      </c>
      <c r="I15" s="236"/>
      <c r="J15" s="237"/>
      <c r="K15" s="203">
        <f t="shared" si="4"/>
        <v>4.960251555614607E-3</v>
      </c>
      <c r="L15" s="209">
        <v>122.22</v>
      </c>
      <c r="M15" s="236">
        <f t="shared" si="5"/>
        <v>0.15692769924116945</v>
      </c>
      <c r="N15" s="237" t="e">
        <f>L15/#REF!</f>
        <v>#REF!</v>
      </c>
      <c r="O15" s="204">
        <f t="shared" si="6"/>
        <v>0.15692769924116945</v>
      </c>
      <c r="P15" s="225">
        <v>7.44</v>
      </c>
      <c r="Q15" s="203">
        <f t="shared" si="7"/>
        <v>6.5149432131629877E-3</v>
      </c>
      <c r="R15" s="225">
        <v>14.13</v>
      </c>
      <c r="S15" s="203">
        <f t="shared" si="8"/>
        <v>1.2506749041857338E-2</v>
      </c>
      <c r="T15" s="225">
        <v>5.0599999999999996</v>
      </c>
      <c r="U15" s="203">
        <f t="shared" si="9"/>
        <v>5.9249891687450972E-3</v>
      </c>
      <c r="V15" s="225">
        <v>10.77</v>
      </c>
      <c r="W15" s="203">
        <f t="shared" si="10"/>
        <v>5.915307299390344E-3</v>
      </c>
      <c r="X15" s="225">
        <v>21.29</v>
      </c>
      <c r="Y15" s="203">
        <f t="shared" si="11"/>
        <v>1.8981303995078594E-2</v>
      </c>
      <c r="Z15" s="225">
        <v>18.04</v>
      </c>
      <c r="AA15" s="203">
        <f t="shared" si="12"/>
        <v>1.2048997475320929E-2</v>
      </c>
      <c r="AB15" s="225">
        <v>8.2799999999999994</v>
      </c>
      <c r="AC15" s="203">
        <f t="shared" si="13"/>
        <v>5.1859228500028181E-3</v>
      </c>
      <c r="AD15" s="225">
        <v>0</v>
      </c>
      <c r="AE15" s="203">
        <f t="shared" si="14"/>
        <v>0</v>
      </c>
      <c r="AF15" s="202">
        <f t="shared" si="15"/>
        <v>215.14</v>
      </c>
      <c r="AG15" s="201">
        <f t="shared" si="16"/>
        <v>1.5009907068902968E-2</v>
      </c>
      <c r="AH15" s="244">
        <f t="shared" si="19"/>
        <v>17.928333333333331</v>
      </c>
      <c r="AI15" s="246">
        <f t="shared" si="17"/>
        <v>32.532499999999999</v>
      </c>
      <c r="AJ15" s="247">
        <f t="shared" si="18"/>
        <v>10.626249999999999</v>
      </c>
    </row>
    <row r="16" spans="1:36" ht="15.95">
      <c r="A16" s="322" t="s">
        <v>341</v>
      </c>
      <c r="B16" s="323">
        <v>0</v>
      </c>
      <c r="C16" s="208">
        <f t="shared" si="0"/>
        <v>0</v>
      </c>
      <c r="D16" s="209">
        <v>0</v>
      </c>
      <c r="E16" s="236"/>
      <c r="F16" s="236"/>
      <c r="G16" s="208">
        <f t="shared" si="20"/>
        <v>0</v>
      </c>
      <c r="H16" s="209">
        <v>0</v>
      </c>
      <c r="I16" s="236"/>
      <c r="J16" s="237"/>
      <c r="K16" s="203">
        <f t="shared" si="4"/>
        <v>0</v>
      </c>
      <c r="L16" s="209">
        <v>0</v>
      </c>
      <c r="M16" s="236">
        <f t="shared" si="5"/>
        <v>0</v>
      </c>
      <c r="N16" s="237" t="e">
        <f>L16/#REF!</f>
        <v>#REF!</v>
      </c>
      <c r="O16" s="204">
        <f t="shared" si="6"/>
        <v>0</v>
      </c>
      <c r="P16" s="225">
        <v>0</v>
      </c>
      <c r="Q16" s="203">
        <f t="shared" si="7"/>
        <v>0</v>
      </c>
      <c r="R16" s="225">
        <v>16.86</v>
      </c>
      <c r="S16" s="203">
        <f t="shared" si="8"/>
        <v>1.4923127306844634E-2</v>
      </c>
      <c r="T16" s="225">
        <v>16.559999999999999</v>
      </c>
      <c r="U16" s="203">
        <f t="shared" si="9"/>
        <v>1.9390873643165774E-2</v>
      </c>
      <c r="V16" s="225">
        <v>458.03</v>
      </c>
      <c r="W16" s="203">
        <f t="shared" si="10"/>
        <v>0.25156807821167682</v>
      </c>
      <c r="X16" s="225">
        <v>1.99</v>
      </c>
      <c r="Y16" s="203">
        <f t="shared" si="11"/>
        <v>1.7742036143826398E-3</v>
      </c>
      <c r="Z16" s="225">
        <v>330.99</v>
      </c>
      <c r="AA16" s="203">
        <f t="shared" si="12"/>
        <v>0.22106971587341878</v>
      </c>
      <c r="AB16" s="225">
        <v>496.28</v>
      </c>
      <c r="AC16" s="203">
        <f t="shared" si="13"/>
        <v>0.31082968502408198</v>
      </c>
      <c r="AD16" s="225">
        <v>730</v>
      </c>
      <c r="AE16" s="203">
        <f t="shared" si="14"/>
        <v>0.36579560544183598</v>
      </c>
      <c r="AF16" s="202">
        <f t="shared" si="15"/>
        <v>2050.71</v>
      </c>
      <c r="AG16" s="201">
        <f t="shared" si="16"/>
        <v>0.14307412161973604</v>
      </c>
      <c r="AH16" s="244">
        <f t="shared" si="19"/>
        <v>170.89250000000001</v>
      </c>
      <c r="AI16" s="246">
        <f t="shared" si="17"/>
        <v>0</v>
      </c>
      <c r="AJ16" s="247">
        <f t="shared" si="18"/>
        <v>256.33875</v>
      </c>
    </row>
    <row r="17" spans="1:36" ht="15.95">
      <c r="A17" s="320"/>
      <c r="B17" s="323">
        <v>0</v>
      </c>
      <c r="C17" s="208">
        <f t="shared" si="0"/>
        <v>0</v>
      </c>
      <c r="D17" s="209">
        <v>0</v>
      </c>
      <c r="E17" s="236"/>
      <c r="F17" s="236"/>
      <c r="G17" s="208">
        <f t="shared" si="20"/>
        <v>0</v>
      </c>
      <c r="H17" s="209">
        <v>0</v>
      </c>
      <c r="I17" s="236"/>
      <c r="J17" s="237"/>
      <c r="K17" s="203">
        <f t="shared" si="4"/>
        <v>0</v>
      </c>
      <c r="L17" s="209">
        <v>0</v>
      </c>
      <c r="M17" s="236">
        <f t="shared" si="5"/>
        <v>0</v>
      </c>
      <c r="N17" s="237" t="e">
        <f>L17/#REF!</f>
        <v>#REF!</v>
      </c>
      <c r="O17" s="204">
        <f t="shared" si="6"/>
        <v>0</v>
      </c>
      <c r="P17" s="225">
        <v>0</v>
      </c>
      <c r="Q17" s="203">
        <f t="shared" si="7"/>
        <v>0</v>
      </c>
      <c r="R17" s="225">
        <v>0</v>
      </c>
      <c r="S17" s="203">
        <f t="shared" si="8"/>
        <v>0</v>
      </c>
      <c r="T17" s="225">
        <v>0</v>
      </c>
      <c r="U17" s="203">
        <f t="shared" si="9"/>
        <v>0</v>
      </c>
      <c r="V17" s="225">
        <v>0</v>
      </c>
      <c r="W17" s="203">
        <f t="shared" si="10"/>
        <v>0</v>
      </c>
      <c r="X17" s="225">
        <v>0</v>
      </c>
      <c r="Y17" s="203">
        <f t="shared" si="11"/>
        <v>0</v>
      </c>
      <c r="Z17" s="225">
        <v>0</v>
      </c>
      <c r="AA17" s="203">
        <f t="shared" si="12"/>
        <v>0</v>
      </c>
      <c r="AB17" s="225">
        <v>0</v>
      </c>
      <c r="AC17" s="203">
        <f t="shared" si="13"/>
        <v>0</v>
      </c>
      <c r="AD17" s="225">
        <v>0</v>
      </c>
      <c r="AE17" s="203">
        <f t="shared" si="14"/>
        <v>0</v>
      </c>
      <c r="AF17" s="202">
        <f t="shared" si="15"/>
        <v>0</v>
      </c>
      <c r="AG17" s="201">
        <f t="shared" si="16"/>
        <v>0</v>
      </c>
      <c r="AH17" s="244">
        <f t="shared" si="19"/>
        <v>0</v>
      </c>
      <c r="AI17" s="246">
        <f t="shared" si="17"/>
        <v>0</v>
      </c>
      <c r="AJ17" s="247">
        <f t="shared" si="18"/>
        <v>0</v>
      </c>
    </row>
    <row r="18" spans="1:36" ht="15.95">
      <c r="A18" s="320"/>
      <c r="B18" s="323">
        <v>0</v>
      </c>
      <c r="C18" s="208">
        <f t="shared" si="0"/>
        <v>0</v>
      </c>
      <c r="D18" s="209">
        <v>0</v>
      </c>
      <c r="E18" s="236"/>
      <c r="F18" s="236"/>
      <c r="G18" s="208">
        <f t="shared" si="20"/>
        <v>0</v>
      </c>
      <c r="H18" s="209">
        <v>0</v>
      </c>
      <c r="I18" s="236"/>
      <c r="J18" s="237"/>
      <c r="K18" s="203">
        <f t="shared" si="4"/>
        <v>0</v>
      </c>
      <c r="L18" s="209">
        <v>0</v>
      </c>
      <c r="M18" s="236">
        <f t="shared" si="5"/>
        <v>0</v>
      </c>
      <c r="N18" s="237" t="e">
        <f>L18/#REF!</f>
        <v>#REF!</v>
      </c>
      <c r="O18" s="204">
        <f t="shared" si="6"/>
        <v>0</v>
      </c>
      <c r="P18" s="225">
        <v>0</v>
      </c>
      <c r="Q18" s="203">
        <f t="shared" si="7"/>
        <v>0</v>
      </c>
      <c r="R18" s="225">
        <v>0</v>
      </c>
      <c r="S18" s="203">
        <f t="shared" si="8"/>
        <v>0</v>
      </c>
      <c r="T18" s="225">
        <v>0</v>
      </c>
      <c r="U18" s="203">
        <f t="shared" si="9"/>
        <v>0</v>
      </c>
      <c r="V18" s="225">
        <v>0</v>
      </c>
      <c r="W18" s="203">
        <f t="shared" si="10"/>
        <v>0</v>
      </c>
      <c r="X18" s="225">
        <v>0</v>
      </c>
      <c r="Y18" s="203">
        <f t="shared" si="11"/>
        <v>0</v>
      </c>
      <c r="Z18" s="225">
        <v>0</v>
      </c>
      <c r="AA18" s="203">
        <f t="shared" si="12"/>
        <v>0</v>
      </c>
      <c r="AB18" s="225">
        <v>0</v>
      </c>
      <c r="AC18" s="203">
        <f t="shared" si="13"/>
        <v>0</v>
      </c>
      <c r="AD18" s="225">
        <v>0</v>
      </c>
      <c r="AE18" s="203">
        <f t="shared" si="14"/>
        <v>0</v>
      </c>
      <c r="AF18" s="202">
        <f t="shared" si="15"/>
        <v>0</v>
      </c>
      <c r="AG18" s="201">
        <f t="shared" si="16"/>
        <v>0</v>
      </c>
      <c r="AH18" s="244">
        <f t="shared" si="19"/>
        <v>0</v>
      </c>
      <c r="AI18" s="246">
        <f t="shared" si="17"/>
        <v>0</v>
      </c>
      <c r="AJ18" s="247">
        <f t="shared" si="18"/>
        <v>0</v>
      </c>
    </row>
    <row r="19" spans="1:36" ht="15.95">
      <c r="A19" s="324" t="s">
        <v>16</v>
      </c>
      <c r="B19" s="325">
        <v>125</v>
      </c>
      <c r="C19" s="326">
        <f t="shared" si="0"/>
        <v>0.16231025930687029</v>
      </c>
      <c r="D19" s="327">
        <v>0</v>
      </c>
      <c r="E19" s="328">
        <f>D19/$D$21</f>
        <v>0</v>
      </c>
      <c r="F19" s="328" t="e">
        <f>D19/#REF!</f>
        <v>#REF!</v>
      </c>
      <c r="G19" s="326">
        <f t="shared" si="20"/>
        <v>0</v>
      </c>
      <c r="H19" s="329">
        <v>0</v>
      </c>
      <c r="I19" s="328">
        <f>H19/$H$21</f>
        <v>0</v>
      </c>
      <c r="J19" s="330" t="e">
        <f>H19/#REF!</f>
        <v>#REF!</v>
      </c>
      <c r="K19" s="331">
        <f t="shared" si="4"/>
        <v>0</v>
      </c>
      <c r="L19" s="329">
        <v>0</v>
      </c>
      <c r="M19" s="328">
        <f t="shared" si="5"/>
        <v>0</v>
      </c>
      <c r="N19" s="330" t="e">
        <f>L19/#REF!</f>
        <v>#REF!</v>
      </c>
      <c r="O19" s="332">
        <f t="shared" si="6"/>
        <v>0</v>
      </c>
      <c r="P19" s="333">
        <v>0</v>
      </c>
      <c r="Q19" s="331">
        <f t="shared" si="7"/>
        <v>0</v>
      </c>
      <c r="R19" s="333">
        <v>0</v>
      </c>
      <c r="S19" s="331">
        <f t="shared" si="8"/>
        <v>0</v>
      </c>
      <c r="T19" s="333">
        <v>0</v>
      </c>
      <c r="U19" s="331">
        <f t="shared" si="9"/>
        <v>0</v>
      </c>
      <c r="V19" s="333">
        <v>0</v>
      </c>
      <c r="W19" s="331">
        <f t="shared" si="10"/>
        <v>0</v>
      </c>
      <c r="X19" s="333">
        <v>0</v>
      </c>
      <c r="Y19" s="331">
        <f t="shared" si="11"/>
        <v>0</v>
      </c>
      <c r="Z19" s="333">
        <v>0</v>
      </c>
      <c r="AA19" s="331">
        <f t="shared" si="12"/>
        <v>0</v>
      </c>
      <c r="AB19" s="333">
        <v>0</v>
      </c>
      <c r="AC19" s="331">
        <f t="shared" si="13"/>
        <v>0</v>
      </c>
      <c r="AD19" s="333">
        <v>0</v>
      </c>
      <c r="AE19" s="331">
        <f t="shared" si="14"/>
        <v>0</v>
      </c>
      <c r="AF19" s="334">
        <f t="shared" si="15"/>
        <v>125</v>
      </c>
      <c r="AG19" s="335">
        <f t="shared" si="16"/>
        <v>8.7210113582451947E-3</v>
      </c>
      <c r="AH19" s="336">
        <f t="shared" si="19"/>
        <v>10.416666666666666</v>
      </c>
      <c r="AI19" s="337">
        <f t="shared" si="17"/>
        <v>31.25</v>
      </c>
      <c r="AJ19" s="338">
        <f t="shared" si="18"/>
        <v>0</v>
      </c>
    </row>
    <row r="20" spans="1:36" ht="15.95">
      <c r="A20" s="324" t="s">
        <v>373</v>
      </c>
      <c r="B20" s="339">
        <v>8.5</v>
      </c>
      <c r="C20" s="345">
        <f t="shared" si="0"/>
        <v>1.103709763286718E-2</v>
      </c>
      <c r="D20" s="340">
        <v>0</v>
      </c>
      <c r="E20" s="341">
        <f>D20/$D$21</f>
        <v>0</v>
      </c>
      <c r="F20" s="341" t="e">
        <f>D20/#REF!</f>
        <v>#REF!</v>
      </c>
      <c r="G20" s="345">
        <f t="shared" si="20"/>
        <v>0</v>
      </c>
      <c r="H20" s="342">
        <v>0</v>
      </c>
      <c r="I20" s="341">
        <f>H20/$H$21</f>
        <v>0</v>
      </c>
      <c r="J20" s="343" t="e">
        <f>H20/#REF!</f>
        <v>#REF!</v>
      </c>
      <c r="K20" s="346">
        <f t="shared" si="4"/>
        <v>0</v>
      </c>
      <c r="L20" s="342">
        <v>0</v>
      </c>
      <c r="M20" s="341">
        <f t="shared" si="5"/>
        <v>0</v>
      </c>
      <c r="N20" s="343" t="e">
        <f>L20/#REF!</f>
        <v>#REF!</v>
      </c>
      <c r="O20" s="347">
        <f t="shared" si="6"/>
        <v>0</v>
      </c>
      <c r="P20" s="344">
        <v>0</v>
      </c>
      <c r="Q20" s="346">
        <f t="shared" si="7"/>
        <v>0</v>
      </c>
      <c r="R20" s="344">
        <v>0</v>
      </c>
      <c r="S20" s="346">
        <f t="shared" si="8"/>
        <v>0</v>
      </c>
      <c r="T20" s="344">
        <v>0</v>
      </c>
      <c r="U20" s="346">
        <f t="shared" si="9"/>
        <v>0</v>
      </c>
      <c r="V20" s="344">
        <v>0</v>
      </c>
      <c r="W20" s="346">
        <f t="shared" si="10"/>
        <v>0</v>
      </c>
      <c r="X20" s="344">
        <v>0</v>
      </c>
      <c r="Y20" s="346">
        <f t="shared" si="11"/>
        <v>0</v>
      </c>
      <c r="Z20" s="344">
        <v>0</v>
      </c>
      <c r="AA20" s="346">
        <f t="shared" si="12"/>
        <v>0</v>
      </c>
      <c r="AB20" s="344">
        <v>0</v>
      </c>
      <c r="AC20" s="346">
        <f t="shared" si="13"/>
        <v>0</v>
      </c>
      <c r="AD20" s="344">
        <v>0</v>
      </c>
      <c r="AE20" s="346">
        <f t="shared" si="14"/>
        <v>0</v>
      </c>
      <c r="AF20" s="348">
        <f t="shared" si="15"/>
        <v>8.5</v>
      </c>
      <c r="AG20" s="349">
        <f t="shared" si="16"/>
        <v>5.9302877236067325E-4</v>
      </c>
      <c r="AH20" s="350">
        <f t="shared" si="19"/>
        <v>0.70833333333333337</v>
      </c>
      <c r="AI20" s="351">
        <f t="shared" si="17"/>
        <v>2.125</v>
      </c>
      <c r="AJ20" s="352">
        <f t="shared" si="18"/>
        <v>0</v>
      </c>
    </row>
    <row r="21" spans="1:36" ht="15.95">
      <c r="A21" s="353" t="s">
        <v>331</v>
      </c>
      <c r="B21" s="783">
        <f>SUM(B3:B18)</f>
        <v>770.12999999999988</v>
      </c>
      <c r="C21" s="785"/>
      <c r="D21" s="783">
        <f t="shared" ref="D21" si="21">SUM(D3:D18)</f>
        <v>589.93999999999994</v>
      </c>
      <c r="E21" s="784"/>
      <c r="F21" s="784"/>
      <c r="G21" s="786"/>
      <c r="H21" s="783">
        <f t="shared" ref="H21" si="22">SUM(H3:H18)</f>
        <v>903.18</v>
      </c>
      <c r="I21" s="784"/>
      <c r="J21" s="784"/>
      <c r="K21" s="786"/>
      <c r="L21" s="783">
        <f t="shared" ref="L21" si="23">SUM(L3:L18)</f>
        <v>778.83</v>
      </c>
      <c r="M21" s="784"/>
      <c r="N21" s="784"/>
      <c r="O21" s="785"/>
      <c r="P21" s="769">
        <f>SUM(P3:P18)</f>
        <v>1141.99</v>
      </c>
      <c r="Q21" s="770"/>
      <c r="R21" s="769">
        <f>SUM(R3:R18)</f>
        <v>1129.79</v>
      </c>
      <c r="S21" s="770"/>
      <c r="T21" s="769">
        <f>SUM(T3:T18)</f>
        <v>854.00999999999988</v>
      </c>
      <c r="U21" s="770"/>
      <c r="V21" s="769">
        <f>SUM(V3:V18)</f>
        <v>1820.7</v>
      </c>
      <c r="W21" s="770"/>
      <c r="X21" s="769">
        <f>SUM(X3:X18)</f>
        <v>1121.6299999999999</v>
      </c>
      <c r="Y21" s="770"/>
      <c r="Z21" s="769">
        <f>SUM(Z3:Z18)</f>
        <v>1497.2199999999998</v>
      </c>
      <c r="AA21" s="770"/>
      <c r="AB21" s="769">
        <f>SUM(AB3:AB18)</f>
        <v>1596.6299999999999</v>
      </c>
      <c r="AC21" s="770"/>
      <c r="AD21" s="769">
        <f>SUM(AD3:AD18)</f>
        <v>1995.65</v>
      </c>
      <c r="AE21" s="770"/>
      <c r="AF21" s="777">
        <f>SUM(AF3:AF20)</f>
        <v>14333.199999999997</v>
      </c>
      <c r="AG21" s="778"/>
      <c r="AH21" s="359">
        <f t="shared" si="19"/>
        <v>1183.3083333333332</v>
      </c>
      <c r="AI21" s="358">
        <f t="shared" si="17"/>
        <v>760.51999999999987</v>
      </c>
      <c r="AJ21" s="354">
        <f t="shared" si="18"/>
        <v>1394.7024999999999</v>
      </c>
    </row>
    <row r="22" spans="1:36">
      <c r="A22" s="355" t="s">
        <v>460</v>
      </c>
      <c r="B22" s="767">
        <v>903.46</v>
      </c>
      <c r="C22" s="768"/>
      <c r="D22" s="767">
        <v>593.54999999999995</v>
      </c>
      <c r="E22" s="771"/>
      <c r="F22" s="771"/>
      <c r="G22" s="768"/>
      <c r="H22" s="767">
        <v>906.72</v>
      </c>
      <c r="I22" s="771"/>
      <c r="J22" s="771"/>
      <c r="K22" s="768"/>
      <c r="L22" s="767">
        <v>779.49</v>
      </c>
      <c r="M22" s="771"/>
      <c r="N22" s="771"/>
      <c r="O22" s="768"/>
      <c r="P22" s="767">
        <v>920.98</v>
      </c>
      <c r="Q22" s="768"/>
      <c r="R22" s="767"/>
      <c r="S22" s="768"/>
      <c r="T22" s="767"/>
      <c r="U22" s="768"/>
      <c r="V22" s="767"/>
      <c r="W22" s="768"/>
      <c r="X22" s="767"/>
      <c r="Y22" s="768"/>
      <c r="Z22" s="767">
        <v>1778.28</v>
      </c>
      <c r="AA22" s="768"/>
      <c r="AB22" s="767">
        <v>2284.81</v>
      </c>
      <c r="AC22" s="768"/>
      <c r="AD22" s="767">
        <v>2248.2600000000002</v>
      </c>
      <c r="AE22" s="768"/>
      <c r="AF22" s="767">
        <f>SUM(B22:AE22)</f>
        <v>10415.550000000001</v>
      </c>
      <c r="AG22" s="771"/>
      <c r="AH22" s="360">
        <f>AVERAGE(B22:AE22)</f>
        <v>1301.9437500000001</v>
      </c>
      <c r="AI22" s="357">
        <f>AVERAGE(B22:O22)</f>
        <v>795.80500000000006</v>
      </c>
      <c r="AJ22" s="357">
        <f>AVERAGE(P22:AE22)</f>
        <v>1808.0825</v>
      </c>
    </row>
    <row r="23" spans="1:36">
      <c r="L23" s="766"/>
      <c r="M23" s="766"/>
      <c r="P23" s="766"/>
      <c r="Q23" s="766"/>
      <c r="R23" s="766" t="s">
        <v>524</v>
      </c>
      <c r="S23" s="766"/>
      <c r="T23" s="766" t="s">
        <v>524</v>
      </c>
      <c r="U23" s="766"/>
      <c r="V23" s="766" t="s">
        <v>524</v>
      </c>
      <c r="W23" s="766"/>
      <c r="X23" s="766" t="s">
        <v>524</v>
      </c>
      <c r="Y23" s="766"/>
      <c r="Z23" s="766" t="s">
        <v>750</v>
      </c>
      <c r="AA23" s="766"/>
    </row>
    <row r="24" spans="1:36">
      <c r="A24" s="182"/>
    </row>
  </sheetData>
  <mergeCells count="46">
    <mergeCell ref="P23:Q23"/>
    <mergeCell ref="L23:M23"/>
    <mergeCell ref="B1:C1"/>
    <mergeCell ref="D1:G1"/>
    <mergeCell ref="H1:K1"/>
    <mergeCell ref="L1:O1"/>
    <mergeCell ref="P1:Q1"/>
    <mergeCell ref="L21:O21"/>
    <mergeCell ref="L22:O22"/>
    <mergeCell ref="P22:Q22"/>
    <mergeCell ref="B22:C22"/>
    <mergeCell ref="B21:C21"/>
    <mergeCell ref="D21:G21"/>
    <mergeCell ref="H21:K21"/>
    <mergeCell ref="D22:G22"/>
    <mergeCell ref="H22:K22"/>
    <mergeCell ref="P21:Q21"/>
    <mergeCell ref="R21:S21"/>
    <mergeCell ref="T21:U21"/>
    <mergeCell ref="AD1:AE1"/>
    <mergeCell ref="AF1:AJ1"/>
    <mergeCell ref="R1:S1"/>
    <mergeCell ref="T1:U1"/>
    <mergeCell ref="V1:W1"/>
    <mergeCell ref="X1:Y1"/>
    <mergeCell ref="Z1:AA1"/>
    <mergeCell ref="AB1:AC1"/>
    <mergeCell ref="AF21:AG21"/>
    <mergeCell ref="AF22:AG22"/>
    <mergeCell ref="V22:W22"/>
    <mergeCell ref="V21:W21"/>
    <mergeCell ref="X22:Y22"/>
    <mergeCell ref="X21:Y21"/>
    <mergeCell ref="Z22:AA22"/>
    <mergeCell ref="Z21:AA21"/>
    <mergeCell ref="R23:S23"/>
    <mergeCell ref="AB22:AC22"/>
    <mergeCell ref="AB21:AC21"/>
    <mergeCell ref="AD21:AE21"/>
    <mergeCell ref="AD22:AE22"/>
    <mergeCell ref="T23:U23"/>
    <mergeCell ref="V23:W23"/>
    <mergeCell ref="X23:Y23"/>
    <mergeCell ref="R22:S22"/>
    <mergeCell ref="T22:U22"/>
    <mergeCell ref="Z23:AA23"/>
  </mergeCells>
  <pageMargins left="0.7" right="0.7" top="0.75" bottom="0.75" header="0.3" footer="0.3"/>
  <pageSetup paperSize="9" orientation="portrait" r:id="rId1"/>
  <ignoredErrors>
    <ignoredError sqref="U3 G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Eduarda</dc:creator>
  <cp:keywords/>
  <dc:description/>
  <cp:lastModifiedBy/>
  <cp:revision/>
  <dcterms:created xsi:type="dcterms:W3CDTF">2022-02-11T09:36:15Z</dcterms:created>
  <dcterms:modified xsi:type="dcterms:W3CDTF">2026-08-21T11:29:59Z</dcterms:modified>
  <cp:category/>
  <cp:contentStatus/>
</cp:coreProperties>
</file>